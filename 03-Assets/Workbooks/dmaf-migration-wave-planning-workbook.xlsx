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a14568c75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4d2d8be0614249"/>
    <x:sheet xmlns:r="http://schemas.openxmlformats.org/officeDocument/2006/relationships" name="Candidates" sheetId="2" r:id="R6fcb7b9b43a34592"/>
    <x:sheet xmlns:r="http://schemas.openxmlformats.org/officeDocument/2006/relationships" name="Wave Plan" sheetId="3" r:id="Re3db73dea26a4e7e"/>
    <x:sheet xmlns:r="http://schemas.openxmlformats.org/officeDocument/2006/relationships" name="Capacity" sheetId="4" r:id="R17f4db1386834ab6"/>
    <x:sheet xmlns:r="http://schemas.openxmlformats.org/officeDocument/2006/relationships" name="Dependencies" sheetId="5" r:id="Re727599001084b67"/>
    <x:sheet xmlns:r="http://schemas.openxmlformats.org/officeDocument/2006/relationships" name="Dashboard" sheetId="6" r:id="Ra9e2938a8c554ac2"/>
    <x:sheet xmlns:r="http://schemas.openxmlformats.org/officeDocument/2006/relationships" name="Reference Lists" sheetId="7" r:id="Rebb0d5460372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CA5A5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FCA5A5"/>
        </x:patternFill>
      </x:fill>
    </x:dxf>
    <x:dxf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b06219f594489" /><Relationship Type="http://schemas.openxmlformats.org/officeDocument/2006/relationships/theme" Target="/xl/theme/theme1.xml" Id="R0f63ef8426ad4c1f" /><Relationship Type="http://schemas.openxmlformats.org/officeDocument/2006/relationships/sharedStrings" Target="/xl/sharedStrings.xml" Id="Rd1a069c78047479b" /><Relationship Type="http://schemas.openxmlformats.org/officeDocument/2006/relationships/worksheet" Target="/xl/worksheets/sheet1.xml" Id="R6c4d2d8be0614249" /><Relationship Type="http://schemas.openxmlformats.org/officeDocument/2006/relationships/worksheet" Target="/xl/worksheets/sheet2.xml" Id="R6fcb7b9b43a34592" /><Relationship Type="http://schemas.openxmlformats.org/officeDocument/2006/relationships/worksheet" Target="/xl/worksheets/sheet3.xml" Id="Re3db73dea26a4e7e" /><Relationship Type="http://schemas.openxmlformats.org/officeDocument/2006/relationships/worksheet" Target="/xl/worksheets/sheet4.xml" Id="R17f4db1386834ab6" /><Relationship Type="http://schemas.openxmlformats.org/officeDocument/2006/relationships/worksheet" Target="/xl/worksheets/sheet5.xml" Id="Re727599001084b67" /><Relationship Type="http://schemas.openxmlformats.org/officeDocument/2006/relationships/worksheet" Target="/xl/worksheets/sheet6.xml" Id="Ra9e2938a8c554ac2" /><Relationship Type="http://schemas.openxmlformats.org/officeDocument/2006/relationships/worksheet" Target="/xl/worksheets/sheet7.xml" Id="Rebb0d546037245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b038cbe8f044c0" /><Relationship Type="http://schemas.openxmlformats.org/officeDocument/2006/relationships/chart" Target="/xl/drawings/charts/chart2.xml" Id="Ra870a7ac71484c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Candidates by Wave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Candidate Count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Candidates by Complexity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'Dashboard'!$B$13:$B$16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038cbe8f044c0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70a7ac71484c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8:B14" headerRowCount="1">
  <x:tableColumns count="2">
    <x:tableColumn id="1" name="Workbook Section"/>
    <x:tableColumn id="2" name="Purpose"/>
  </x:tableColumns>
  <x:tableStyleInfo name="TableStyleMedium2" showRowStripes="1"/>
</x:table>
</file>

<file path=xl/tables/table2.xml><?xml version="1.0" encoding="utf-8"?>
<x:table xmlns:x="http://schemas.openxmlformats.org/spreadsheetml/2006/main" id="3" name="CandidateTable" displayName="CandidateTable" ref="A1:S201" headerRowCount="1">
  <x:tableColumns count="19">
    <x:tableColumn id="1" name="Candidate ID"/>
    <x:tableColumn id="2" name="Application"/>
    <x:tableColumn id="3" name="Workload / Workflow"/>
    <x:tableColumn id="4" name="Source Platform"/>
    <x:tableColumn id="5" name="Business Priority (1-5)"/>
    <x:tableColumn id="6" name="Technical Complexity (1-5)"/>
    <x:tableColumn id="7" name="Dependency Risk (1-5)"/>
    <x:tableColumn id="8" name="Validation Complexity (1-5)"/>
    <x:tableColumn id="9" name="Readiness (1-5)"/>
    <x:tableColumn id="10" name="Business Criticality"/>
    <x:tableColumn id="11" name="Coexistence Need"/>
    <x:tableColumn id="12" name="Estimated Effort Days"/>
    <x:tableColumn id="13" name="Composite Score"/>
    <x:tableColumn id="14" name="Complexity Band"/>
    <x:tableColumn id="15" name="Recommended Wave"/>
    <x:tableColumn id="16" name="Assigned Wave"/>
    <x:tableColumn id="17" name="Status"/>
    <x:tableColumn id="18" name="Owner"/>
    <x:tableColumn id="19" name="Notes"/>
  </x:tableColumns>
  <x:tableStyleInfo name="TableStyleMedium2" showRowStripes="1"/>
</x:table>
</file>

<file path=xl/tables/table3.xml><?xml version="1.0" encoding="utf-8"?>
<x:table xmlns:x="http://schemas.openxmlformats.org/spreadsheetml/2006/main" id="4" name="WavePlanTable" displayName="WavePlanTable" ref="A1:M15" headerRowCount="1">
  <x:tableColumns count="13">
    <x:tableColumn id="1" name="Wave"/>
    <x:tableColumn id="2" name="Wave Name"/>
    <x:tableColumn id="3" name="Target Start"/>
    <x:tableColumn id="4" name="Target End"/>
    <x:tableColumn id="5" name="Objective"/>
    <x:tableColumn id="6" name="Candidate Count"/>
    <x:tableColumn id="7" name="Effort Days"/>
    <x:tableColumn id="8" name="Avg Score"/>
    <x:tableColumn id="9" name="High/Very High Count"/>
    <x:tableColumn id="10" name="Status"/>
    <x:tableColumn id="11" name="Entry Criteria"/>
    <x:tableColumn id="12" name="Exit Criteria"/>
    <x:tableColumn id="13" name="Key Risks / Notes"/>
  </x:tableColumns>
  <x:tableStyleInfo name="TableStyleMedium2" showRowStripes="1"/>
</x:table>
</file>

<file path=xl/tables/table4.xml><?xml version="1.0" encoding="utf-8"?>
<x:table xmlns:x="http://schemas.openxmlformats.org/spreadsheetml/2006/main" id="5" name="CapacityTable" displayName="CapacityTable" ref="A1:G100" headerRowCount="1">
  <x:tableColumns count="7">
    <x:tableColumn id="1" name="Role"/>
    <x:tableColumn id="2" name="FTE"/>
    <x:tableColumn id="3" name="Available Days / Month"/>
    <x:tableColumn id="4" name="Productivity Factor"/>
    <x:tableColumn id="5" name="Effective Capacity Days"/>
    <x:tableColumn id="6" name="Primary Wave Focus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6" name="DependencyTable" displayName="DependencyTable" ref="A1:J100" headerRowCount="1">
  <x:tableColumns count="10">
    <x:tableColumn id="1" name="Dependency ID"/>
    <x:tableColumn id="2" name="Predecessor Candidate ID"/>
    <x:tableColumn id="3" name="Successor Candidate ID"/>
    <x:tableColumn id="4" name="Dependency Type"/>
    <x:tableColumn id="5" name="Description"/>
    <x:tableColumn id="6" name="Impact"/>
    <x:tableColumn id="7" name="Status"/>
    <x:tableColumn id="8" name="Owner"/>
    <x:tableColumn id="9" name="Target Resolution Date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DashboardKpiTable" displayName="DashboardKpiTable" ref="A3:B10" headerRowCount="1">
  <x:tableColumns count="2">
    <x:tableColumn id="1" name="Metric"/>
    <x:tableColumn id="2" name="Value"/>
  </x:tableColumns>
  <x:tableStyleInfo name="TableStyleMedium2" showRowStripes="1"/>
</x:table>
</file>

<file path=xl/tables/table7.xml><?xml version="1.0" encoding="utf-8"?>
<x:table xmlns:x="http://schemas.openxmlformats.org/spreadsheetml/2006/main" id="8" name="WaveSummaryTable" displayName="WaveSummaryTable" ref="D3:F9" headerRowCount="1">
  <x:tableColumns count="3">
    <x:tableColumn id="1" name="Wave"/>
    <x:tableColumn id="2" name="Candidate Count"/>
    <x:tableColumn id="3" name="Effort Days"/>
  </x:tableColumns>
  <x:tableStyleInfo name="TableStyleMedium2" showRowStripes="1"/>
</x:table>
</file>

<file path=xl/tables/table8.xml><?xml version="1.0" encoding="utf-8"?>
<x:table xmlns:x="http://schemas.openxmlformats.org/spreadsheetml/2006/main" id="9" name="ComplexitySummaryTable" displayName="ComplexitySummaryTable" ref="A12:C16" headerRowCount="1">
  <x:tableColumns count="3">
    <x:tableColumn id="1" name="Complexity Band"/>
    <x:tableColumn id="2" name="Count"/>
    <x:tableColumn id="3" name="Effort Days"/>
  </x:tableColumns>
  <x:tableStyleInfo name="TableStyleMedium2" showRowStripes="1"/>
</x:table>
</file>

<file path=xl/tables/table9.xml><?xml version="1.0" encoding="utf-8"?>
<x:table xmlns:x="http://schemas.openxmlformats.org/spreadsheetml/2006/main" id="2" name="ReferenceListsTable" displayName="ReferenceListsTable" ref="A1:J10" headerRowCount="1">
  <x:tableColumns count="10">
    <x:tableColumn id="1" name="Source Platform"/>
    <x:tableColumn id="2" name="Score"/>
    <x:tableColumn id="3" name="Business Criticality"/>
    <x:tableColumn id="4" name="Yes/No"/>
    <x:tableColumn id="5" name="Status"/>
    <x:tableColumn id="6" name="Wave"/>
    <x:tableColumn id="7" name="Complexity Band"/>
    <x:tableColumn id="8" name="Dependency Type"/>
    <x:tableColumn id="9" name="Impact"/>
    <x:tableColumn id="10" name="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54e642ad944b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ff9de11a5546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8aecc2d3ac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2ff35df11445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5d75af98944f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cc96d6f8caf4d0a" /><Relationship Type="http://schemas.openxmlformats.org/officeDocument/2006/relationships/table" Target="/xl/tables/table6.xml" Id="R5e6d1a48065b49c0" /><Relationship Type="http://schemas.openxmlformats.org/officeDocument/2006/relationships/table" Target="/xl/tables/table7.xml" Id="R0961618ac8364763" /><Relationship Type="http://schemas.openxmlformats.org/officeDocument/2006/relationships/table" Target="/xl/tables/table8.xml" Id="Rd15a1eb91ff442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4095fc6b219140f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0" customHeight="1">
      <x:c r="A1" s="4" t="str">
        <x:v>DMAF Migration Wave Planning Workbook</x:v>
      </x:c>
    </x:row>
    <x:row r="3">
      <x:c r="A3" s="11" t="str">
        <x:v>Purpose</x:v>
      </x:c>
    </x:row>
    <x:row r="4">
      <x:c r="A4" s="16" t="str">
        <x:v>This workbook helps plan migration waves for Databricks-led modernization. It supports DMAF-CAP-MGF-001 — Migration Wave Planning and connects candidate inventory, complexity, dependencies, delivery capacity, wave sequencing, and executive summary metrics.</x:v>
      </x:c>
    </x:row>
    <x:row r="8">
      <x:c r="A8" s="21" t="str">
        <x:v>Workbook Section</x:v>
      </x:c>
      <x:c r="B8" s="21" t="str">
        <x:v>Purpose</x:v>
      </x:c>
    </x:row>
    <x:row r="9">
      <x:c r="A9" s="16" t="str">
        <x:v>Candidates</x:v>
      </x:c>
      <x:c r="B9" s="16" t="str">
        <x:v>Score and assign modernization candidates to migration waves.</x:v>
      </x:c>
    </x:row>
    <x:row r="10">
      <x:c r="A10" s="16" t="str">
        <x:v>Wave Plan</x:v>
      </x:c>
      <x:c r="B10" s="16" t="str">
        <x:v>Define wave objectives, timing, scope, and readiness.</x:v>
      </x:c>
    </x:row>
    <x:row r="11">
      <x:c r="A11" s="16" t="str">
        <x:v>Capacity</x:v>
      </x:c>
      <x:c r="B11" s="16" t="str">
        <x:v>Capture delivery capacity assumptions by role.</x:v>
      </x:c>
    </x:row>
    <x:row r="12">
      <x:c r="A12" s="16" t="str">
        <x:v>Dependencies</x:v>
      </x:c>
      <x:c r="B12" s="16" t="str">
        <x:v>Track candidate-to-candidate dependencies and blockers.</x:v>
      </x:c>
    </x:row>
    <x:row r="13">
      <x:c r="A13" s="16" t="str">
        <x:v>Dashboard</x:v>
      </x:c>
      <x:c r="B13" s="16" t="str">
        <x:v>Summarize wave distribution, complexity, effort, and readiness.</x:v>
      </x:c>
    </x:row>
    <x:row r="14">
      <x:c r="A14" s="16" t="str">
        <x:v>Reference Lists</x:v>
      </x:c>
      <x:c r="B14" s="16" t="str">
        <x:v>Dropdown values used across the workbook.</x:v>
      </x:c>
    </x:row>
    <x:row r="16">
      <x:c r="A16" s="11" t="str">
        <x:v>Usage Guidance</x:v>
      </x:c>
    </x:row>
    <x:row r="17">
      <x:c r="A17" s="16" t="str">
        <x:v>1. Populate the Candidates sheet with applications, workloads, scores, and initial wave assignments.</x:v>
      </x:c>
    </x:row>
    <x:row r="18">
      <x:c r="A18" s="16" t="str">
        <x:v>2. Use Composite Score and Complexity Band to inform wave sequencing; do not treat them as automatic decisions.</x:v>
      </x:c>
    </x:row>
    <x:row r="19">
      <x:c r="A19" s="16" t="str">
        <x:v>3. Update the Wave Plan with dates, objectives, entry criteria, exit criteria, and governance notes.</x:v>
      </x:c>
    </x:row>
    <x:row r="20">
      <x:c r="A20" s="16" t="str">
        <x:v>4. Capture delivery capacity and unresolved dependencies before committing wave dates.</x:v>
      </x:c>
    </x:row>
    <x:row r="21">
      <x:c r="A21" s="16" t="str">
        <x:v>5. Review the Dashboard before executive or steering updates.</x:v>
      </x:c>
    </x:row>
    <x:row r="22">
      <x:c r="A22" s="16" t="str">
        <x:v>6. Use the workbook as a planning accelerator, not as a replacement for architecture and delivery judgment.</x:v>
      </x:c>
    </x:row>
  </x:sheetData>
  <x:mergeCells>
    <x:mergeCell ref="A1:H1"/>
    <x:mergeCell ref="A4:H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  <x:tableParts count="1">
    <x:tablePart xmlns:r="http://schemas.openxmlformats.org/officeDocument/2006/relationships" r:id="R1654e642ad944b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4" hidden="0" customWidth="1"/>
    <x:col min="18" max="18" width="18" hidden="0" customWidth="1"/>
    <x:col min="19" max="19" width="36" hidden="0" customWidth="1"/>
  </x:cols>
  <x:sheetData>
    <x:row r="1">
      <x:c r="A1" s="21" t="str">
        <x:v>Candidate ID</x:v>
      </x:c>
      <x:c r="B1" s="21" t="str">
        <x:v>Application</x:v>
      </x:c>
      <x:c r="C1" s="21" t="str">
        <x:v>Workload / Workflow</x:v>
      </x:c>
      <x:c r="D1" s="21" t="str">
        <x:v>Source Platform</x:v>
      </x:c>
      <x:c r="E1" s="21" t="str">
        <x:v>Business Priority (1-5)</x:v>
      </x:c>
      <x:c r="F1" s="21" t="str">
        <x:v>Technical Complexity (1-5)</x:v>
      </x:c>
      <x:c r="G1" s="21" t="str">
        <x:v>Dependency Risk (1-5)</x:v>
      </x:c>
      <x:c r="H1" s="21" t="str">
        <x:v>Validation Complexity (1-5)</x:v>
      </x:c>
      <x:c r="I1" s="21" t="str">
        <x:v>Readiness (1-5)</x:v>
      </x:c>
      <x:c r="J1" s="21" t="str">
        <x:v>Business Criticality</x:v>
      </x:c>
      <x:c r="K1" s="21" t="str">
        <x:v>Coexistence Need</x:v>
      </x:c>
      <x:c r="L1" s="21" t="str">
        <x:v>Estimated Effort Days</x:v>
      </x:c>
      <x:c r="M1" s="21" t="str">
        <x:v>Composite Score</x:v>
      </x:c>
      <x:c r="N1" s="21" t="str">
        <x:v>Complexity Band</x:v>
      </x:c>
      <x:c r="O1" s="21" t="str">
        <x:v>Recommended Wave</x:v>
      </x:c>
      <x:c r="P1" s="21" t="str">
        <x:v>Assigned Wave</x:v>
      </x:c>
      <x:c r="Q1" s="21" t="str">
        <x:v>Status</x:v>
      </x:c>
      <x:c r="R1" s="21" t="str">
        <x:v>Owner</x:v>
      </x:c>
      <x:c r="S1" s="21" t="str">
        <x:v>Notes</x:v>
      </x:c>
    </x:row>
    <x:row r="2">
      <x:c r="A2" t="str">
        <x:v>CAND-001</x:v>
      </x:c>
      <x:c r="B2" t="str">
        <x:v>Customer Analytics</x:v>
      </x:c>
      <x:c r="C2" t="str">
        <x:v>Daily Customer Mart Load</x:v>
      </x:c>
      <x:c r="D2" t="str">
        <x:v>Informatica</x:v>
      </x:c>
      <x:c r="E2" t="n">
        <x:v>5</x:v>
      </x:c>
      <x:c r="F2" t="n">
        <x:v>3</x:v>
      </x:c>
      <x:c r="G2" t="n">
        <x:v>3</x:v>
      </x:c>
      <x:c r="H2" t="n">
        <x:v>3</x:v>
      </x:c>
      <x:c r="I2" t="n">
        <x:v>4</x:v>
      </x:c>
      <x:c r="J2" t="str">
        <x:v>High</x:v>
      </x:c>
      <x:c r="K2" t="str">
        <x:v>Yes</x:v>
      </x:c>
      <x:c r="L2" s="26" t="n">
        <x:v>20</x:v>
      </x:c>
      <x:c r="M2" s="26" t="n">
        <x:f>IF(A2="","",ROUND((E2*0.25)+(F2*0.25)+(G2*0.20)+(H2*0.20)+((6-I2)*0.10),2))</x:f>
        <x:v>3.4</x:v>
      </x:c>
      <x:c r="N2" t="str">
        <x:f>IF(A2="","",IF(M2&gt;=4,"Very High",IF(M2&gt;=3,"High",IF(M2&gt;=2,"Medium","Low"))))</x:f>
        <x:v>High</x:v>
      </x:c>
      <x:c r="O2" t="str">
        <x:f>IF(A2="","",IF(I2&lt;=2,"Wave 3",IF(M2&gt;=4,"Wave 3",IF(M2&gt;=3,"Wave 2","Wave 1"))))</x:f>
        <x:v>Wave 2</x:v>
      </x:c>
      <x:c r="P2" t="str">
        <x:v>Wave 1</x:v>
      </x:c>
      <x:c r="Q2" t="str">
        <x:v>Planned</x:v>
      </x:c>
      <x:c r="R2" t="str">
        <x:v>Migration Lead</x:v>
      </x:c>
      <x:c r="S2" t="str">
        <x:v>Strong business value; manageable complexity.</x:v>
      </x:c>
    </x:row>
    <x:row r="3">
      <x:c r="A3" t="str">
        <x:v>CAND-002</x:v>
      </x:c>
      <x:c r="B3" t="str">
        <x:v>Finance Ledger</x:v>
      </x:c>
      <x:c r="C3" t="str">
        <x:v>Monthly GL Extract</x:v>
      </x:c>
      <x:c r="D3" t="str">
        <x:v>Mainframe</x:v>
      </x:c>
      <x:c r="E3" t="n">
        <x:v>5</x:v>
      </x:c>
      <x:c r="F3" t="n">
        <x:v>5</x:v>
      </x:c>
      <x:c r="G3" t="n">
        <x:v>5</x:v>
      </x:c>
      <x:c r="H3" t="n">
        <x:v>5</x:v>
      </x:c>
      <x:c r="I3" t="n">
        <x:v>2</x:v>
      </x:c>
      <x:c r="J3" t="str">
        <x:v>Critical</x:v>
      </x:c>
      <x:c r="K3" t="str">
        <x:v>Yes</x:v>
      </x:c>
      <x:c r="L3" s="26" t="n">
        <x:v>45</x:v>
      </x:c>
      <x:c r="M3" s="26" t="n">
        <x:f>IF(A3="","",ROUND((E3*0.25)+(F3*0.25)+(G3*0.20)+(H3*0.20)+((6-I3)*0.10),2))</x:f>
        <x:v>4.9</x:v>
      </x:c>
      <x:c r="N3" t="str">
        <x:f>IF(A3="","",IF(M3&gt;=4,"Very High",IF(M3&gt;=3,"High",IF(M3&gt;=2,"Medium","Low"))))</x:f>
        <x:v>Very High</x:v>
      </x:c>
      <x:c r="O3" t="str">
        <x:f>IF(A3="","",IF(I3&lt;=2,"Wave 3",IF(M3&gt;=4,"Wave 3",IF(M3&gt;=3,"Wave 2","Wave 1"))))</x:f>
        <x:v>Wave 3</x:v>
      </x:c>
      <x:c r="P3" t="str">
        <x:v>Wave 3</x:v>
      </x:c>
      <x:c r="Q3" t="str">
        <x:v>Planned</x:v>
      </x:c>
      <x:c r="R3" t="str">
        <x:v>Data Architect</x:v>
      </x:c>
      <x:c r="S3" t="str">
        <x:v>High validation and downstream impact.</x:v>
      </x:c>
    </x:row>
    <x:row r="4">
      <x:c r="A4" t="str">
        <x:v>CAND-003</x:v>
      </x:c>
      <x:c r="B4" t="str">
        <x:v>Sales Reporting</x:v>
      </x:c>
      <x:c r="C4" t="str">
        <x:v>Sales Summary Pipeline</x:v>
      </x:c>
      <x:c r="D4" t="str">
        <x:v>SSIS</x:v>
      </x:c>
      <x:c r="E4" t="n">
        <x:v>4</x:v>
      </x:c>
      <x:c r="F4" t="n">
        <x:v>2</x:v>
      </x:c>
      <x:c r="G4" t="n">
        <x:v>2</x:v>
      </x:c>
      <x:c r="H4" t="n">
        <x:v>2</x:v>
      </x:c>
      <x:c r="I4" t="n">
        <x:v>5</x:v>
      </x:c>
      <x:c r="J4" t="str">
        <x:v>Medium</x:v>
      </x:c>
      <x:c r="K4" t="str">
        <x:v>No</x:v>
      </x:c>
      <x:c r="L4" s="26" t="n">
        <x:v>12</x:v>
      </x:c>
      <x:c r="M4" s="26" t="n">
        <x:f>IF(A4="","",ROUND((E4*0.25)+(F4*0.25)+(G4*0.20)+(H4*0.20)+((6-I4)*0.10),2))</x:f>
        <x:v>2.4</x:v>
      </x:c>
      <x:c r="N4" t="str">
        <x:f>IF(A4="","",IF(M4&gt;=4,"Very High",IF(M4&gt;=3,"High",IF(M4&gt;=2,"Medium","Low"))))</x:f>
        <x:v>Medium</x:v>
      </x:c>
      <x:c r="O4" t="str">
        <x:f>IF(A4="","",IF(I4&lt;=2,"Wave 3",IF(M4&gt;=4,"Wave 3",IF(M4&gt;=3,"Wave 2","Wave 1"))))</x:f>
        <x:v>Wave 1</x:v>
      </x:c>
      <x:c r="P4" t="str">
        <x:v>Wave 1</x:v>
      </x:c>
      <x:c r="Q4" t="str">
        <x:v>Planned</x:v>
      </x:c>
      <x:c r="R4" t="str">
        <x:v>Developer</x:v>
      </x:c>
      <x:c r="S4" t="str">
        <x:v>Good candidate for early wave.</x:v>
      </x:c>
    </x:row>
    <x:row r="5">
      <x:c r="A5" t="str">
        <x:v>CAND-004</x:v>
      </x:c>
      <x:c r="B5" t="str">
        <x:v>Risk Data Hub</x:v>
      </x:c>
      <x:c r="C5" t="str">
        <x:v>Risk Exposure Batch</x:v>
      </x:c>
      <x:c r="D5" t="str">
        <x:v>Oracle ETL</x:v>
      </x:c>
      <x:c r="E5" t="n">
        <x:v>4</x:v>
      </x:c>
      <x:c r="F5" t="n">
        <x:v>4</x:v>
      </x:c>
      <x:c r="G5" t="n">
        <x:v>4</x:v>
      </x:c>
      <x:c r="H5" t="n">
        <x:v>4</x:v>
      </x:c>
      <x:c r="I5" t="n">
        <x:v>3</x:v>
      </x:c>
      <x:c r="J5" t="str">
        <x:v>High</x:v>
      </x:c>
      <x:c r="K5" t="str">
        <x:v>Yes</x:v>
      </x:c>
      <x:c r="L5" s="26" t="n">
        <x:v>32</x:v>
      </x:c>
      <x:c r="M5" s="26" t="n">
        <x:f>IF(A5="","",ROUND((E5*0.25)+(F5*0.25)+(G5*0.20)+(H5*0.20)+((6-I5)*0.10),2))</x:f>
        <x:v>3.9</x:v>
      </x:c>
      <x:c r="N5" t="str">
        <x:f>IF(A5="","",IF(M5&gt;=4,"Very High",IF(M5&gt;=3,"High",IF(M5&gt;=2,"Medium","Low"))))</x:f>
        <x:v>High</x:v>
      </x:c>
      <x:c r="O5" t="str">
        <x:f>IF(A5="","",IF(I5&lt;=2,"Wave 3",IF(M5&gt;=4,"Wave 3",IF(M5&gt;=3,"Wave 2","Wave 1"))))</x:f>
        <x:v>Wave 2</x:v>
      </x:c>
      <x:c r="P5" t="str">
        <x:v>Wave 2</x:v>
      </x:c>
      <x:c r="Q5" t="str">
        <x:v>Planned</x:v>
      </x:c>
      <x:c r="R5" t="str">
        <x:v>Solution Architect</x:v>
      </x:c>
      <x:c r="S5" t="str">
        <x:v>Dependency review required.</x:v>
      </x:c>
    </x:row>
    <x:row r="6">
      <x:c r="A6" t="str">
        <x:v>CAND-005</x:v>
      </x:c>
      <x:c r="B6" t="str">
        <x:v>Marketing Data Mart</x:v>
      </x:c>
      <x:c r="C6" t="str">
        <x:v>Campaign Performance Load</x:v>
      </x:c>
      <x:c r="D6" t="str">
        <x:v>Custom SQL</x:v>
      </x:c>
      <x:c r="E6" t="n">
        <x:v>3</x:v>
      </x:c>
      <x:c r="F6" t="n">
        <x:v>2</x:v>
      </x:c>
      <x:c r="G6" t="n">
        <x:v>2</x:v>
      </x:c>
      <x:c r="H6" t="n">
        <x:v>2</x:v>
      </x:c>
      <x:c r="I6" t="n">
        <x:v>4</x:v>
      </x:c>
      <x:c r="J6" t="str">
        <x:v>Medium</x:v>
      </x:c>
      <x:c r="K6" t="str">
        <x:v>No</x:v>
      </x:c>
      <x:c r="L6" s="26" t="n">
        <x:v>10</x:v>
      </x:c>
      <x:c r="M6" s="26" t="n">
        <x:f>IF(A6="","",ROUND((E6*0.25)+(F6*0.25)+(G6*0.20)+(H6*0.20)+((6-I6)*0.10),2))</x:f>
        <x:v>2.25</x:v>
      </x:c>
      <x:c r="N6" t="str">
        <x:f>IF(A6="","",IF(M6&gt;=4,"Very High",IF(M6&gt;=3,"High",IF(M6&gt;=2,"Medium","Low"))))</x:f>
        <x:v>Medium</x:v>
      </x:c>
      <x:c r="O6" t="str">
        <x:f>IF(A6="","",IF(I6&lt;=2,"Wave 3",IF(M6&gt;=4,"Wave 3",IF(M6&gt;=3,"Wave 2","Wave 1"))))</x:f>
        <x:v>Wave 1</x:v>
      </x:c>
      <x:c r="P6" t="str">
        <x:v>Wave 1</x:v>
      </x:c>
      <x:c r="Q6" t="str">
        <x:v>Planned</x:v>
      </x:c>
      <x:c r="R6" t="str">
        <x:v>Developer</x:v>
      </x:c>
      <x:c r="S6" t="str">
        <x:v>Candidate for pattern reuse.</x:v>
      </x:c>
    </x:row>
    <x:row r="7">
      <x:c r="L7" s="26"/>
      <x:c r="M7" s="26" t="str">
        <x:f>IF(A7="","",ROUND((E7*0.25)+(F7*0.25)+(G7*0.20)+(H7*0.20)+((6-I7)*0.10),2))</x:f>
      </x:c>
      <x:c r="N7" t="str">
        <x:f>IF(A7="","",IF(M7&gt;=4,"Very High",IF(M7&gt;=3,"High",IF(M7&gt;=2,"Medium","Low"))))</x:f>
      </x:c>
      <x:c r="O7" t="str">
        <x:f>IF(A7="","",IF(I7&lt;=2,"Wave 3",IF(M7&gt;=4,"Wave 3",IF(M7&gt;=3,"Wave 2","Wave 1"))))</x:f>
      </x:c>
    </x:row>
    <x:row r="8">
      <x:c r="L8" s="26"/>
      <x:c r="M8" s="26" t="str">
        <x:f>IF(A8="","",ROUND((E8*0.25)+(F8*0.25)+(G8*0.20)+(H8*0.20)+((6-I8)*0.10),2))</x:f>
      </x:c>
      <x:c r="N8" t="str">
        <x:f>IF(A8="","",IF(M8&gt;=4,"Very High",IF(M8&gt;=3,"High",IF(M8&gt;=2,"Medium","Low"))))</x:f>
      </x:c>
      <x:c r="O8" t="str">
        <x:f>IF(A8="","",IF(I8&lt;=2,"Wave 3",IF(M8&gt;=4,"Wave 3",IF(M8&gt;=3,"Wave 2","Wave 1"))))</x:f>
      </x:c>
    </x:row>
    <x:row r="9">
      <x:c r="L9" s="26"/>
      <x:c r="M9" s="26" t="str">
        <x:f>IF(A9="","",ROUND((E9*0.25)+(F9*0.25)+(G9*0.20)+(H9*0.20)+((6-I9)*0.10),2))</x:f>
      </x:c>
      <x:c r="N9" t="str">
        <x:f>IF(A9="","",IF(M9&gt;=4,"Very High",IF(M9&gt;=3,"High",IF(M9&gt;=2,"Medium","Low"))))</x:f>
      </x:c>
      <x:c r="O9" t="str">
        <x:f>IF(A9="","",IF(I9&lt;=2,"Wave 3",IF(M9&gt;=4,"Wave 3",IF(M9&gt;=3,"Wave 2","Wave 1"))))</x:f>
      </x:c>
    </x:row>
    <x:row r="10">
      <x:c r="L10" s="26"/>
      <x:c r="M10" s="26" t="str">
        <x:f>IF(A10="","",ROUND((E10*0.25)+(F10*0.25)+(G10*0.20)+(H10*0.20)+((6-I10)*0.10),2))</x:f>
      </x:c>
      <x:c r="N10" t="str">
        <x:f>IF(A10="","",IF(M10&gt;=4,"Very High",IF(M10&gt;=3,"High",IF(M10&gt;=2,"Medium","Low"))))</x:f>
      </x:c>
      <x:c r="O10" t="str">
        <x:f>IF(A10="","",IF(I10&lt;=2,"Wave 3",IF(M10&gt;=4,"Wave 3",IF(M10&gt;=3,"Wave 2","Wave 1"))))</x:f>
      </x:c>
    </x:row>
    <x:row r="11">
      <x:c r="L11" s="26"/>
      <x:c r="M11" s="26" t="str">
        <x:f>IF(A11="","",ROUND((E11*0.25)+(F11*0.25)+(G11*0.20)+(H11*0.20)+((6-I11)*0.10),2))</x:f>
      </x:c>
      <x:c r="N11" t="str">
        <x:f>IF(A11="","",IF(M11&gt;=4,"Very High",IF(M11&gt;=3,"High",IF(M11&gt;=2,"Medium","Low"))))</x:f>
      </x:c>
      <x:c r="O11" t="str">
        <x:f>IF(A11="","",IF(I11&lt;=2,"Wave 3",IF(M11&gt;=4,"Wave 3",IF(M11&gt;=3,"Wave 2","Wave 1"))))</x:f>
      </x:c>
    </x:row>
    <x:row r="12">
      <x:c r="L12" s="26"/>
      <x:c r="M12" s="26" t="str">
        <x:f>IF(A12="","",ROUND((E12*0.25)+(F12*0.25)+(G12*0.20)+(H12*0.20)+((6-I12)*0.10),2))</x:f>
      </x:c>
      <x:c r="N12" t="str">
        <x:f>IF(A12="","",IF(M12&gt;=4,"Very High",IF(M12&gt;=3,"High",IF(M12&gt;=2,"Medium","Low"))))</x:f>
      </x:c>
      <x:c r="O12" t="str">
        <x:f>IF(A12="","",IF(I12&lt;=2,"Wave 3",IF(M12&gt;=4,"Wave 3",IF(M12&gt;=3,"Wave 2","Wave 1"))))</x:f>
      </x:c>
    </x:row>
    <x:row r="13">
      <x:c r="L13" s="26"/>
      <x:c r="M13" s="26" t="str">
        <x:f>IF(A13="","",ROUND((E13*0.25)+(F13*0.25)+(G13*0.20)+(H13*0.20)+((6-I13)*0.10),2))</x:f>
      </x:c>
      <x:c r="N13" t="str">
        <x:f>IF(A13="","",IF(M13&gt;=4,"Very High",IF(M13&gt;=3,"High",IF(M13&gt;=2,"Medium","Low"))))</x:f>
      </x:c>
      <x:c r="O13" t="str">
        <x:f>IF(A13="","",IF(I13&lt;=2,"Wave 3",IF(M13&gt;=4,"Wave 3",IF(M13&gt;=3,"Wave 2","Wave 1"))))</x:f>
      </x:c>
    </x:row>
    <x:row r="14">
      <x:c r="L14" s="26"/>
      <x:c r="M14" s="26" t="str">
        <x:f>IF(A14="","",ROUND((E14*0.25)+(F14*0.25)+(G14*0.20)+(H14*0.20)+((6-I14)*0.10),2))</x:f>
      </x:c>
      <x:c r="N14" t="str">
        <x:f>IF(A14="","",IF(M14&gt;=4,"Very High",IF(M14&gt;=3,"High",IF(M14&gt;=2,"Medium","Low"))))</x:f>
      </x:c>
      <x:c r="O14" t="str">
        <x:f>IF(A14="","",IF(I14&lt;=2,"Wave 3",IF(M14&gt;=4,"Wave 3",IF(M14&gt;=3,"Wave 2","Wave 1"))))</x:f>
      </x:c>
    </x:row>
    <x:row r="15">
      <x:c r="L15" s="26"/>
      <x:c r="M15" s="26" t="str">
        <x:f>IF(A15="","",ROUND((E15*0.25)+(F15*0.25)+(G15*0.20)+(H15*0.20)+((6-I15)*0.10),2))</x:f>
      </x:c>
      <x:c r="N15" t="str">
        <x:f>IF(A15="","",IF(M15&gt;=4,"Very High",IF(M15&gt;=3,"High",IF(M15&gt;=2,"Medium","Low"))))</x:f>
      </x:c>
      <x:c r="O15" t="str">
        <x:f>IF(A15="","",IF(I15&lt;=2,"Wave 3",IF(M15&gt;=4,"Wave 3",IF(M15&gt;=3,"Wave 2","Wave 1"))))</x:f>
      </x:c>
    </x:row>
    <x:row r="16">
      <x:c r="L16" s="26"/>
      <x:c r="M16" s="26" t="str">
        <x:f>IF(A16="","",ROUND((E16*0.25)+(F16*0.25)+(G16*0.20)+(H16*0.20)+((6-I16)*0.10),2))</x:f>
      </x:c>
      <x:c r="N16" t="str">
        <x:f>IF(A16="","",IF(M16&gt;=4,"Very High",IF(M16&gt;=3,"High",IF(M16&gt;=2,"Medium","Low"))))</x:f>
      </x:c>
      <x:c r="O16" t="str">
        <x:f>IF(A16="","",IF(I16&lt;=2,"Wave 3",IF(M16&gt;=4,"Wave 3",IF(M16&gt;=3,"Wave 2","Wave 1"))))</x:f>
      </x:c>
    </x:row>
    <x:row r="17">
      <x:c r="L17" s="26"/>
      <x:c r="M17" s="26" t="str">
        <x:f>IF(A17="","",ROUND((E17*0.25)+(F17*0.25)+(G17*0.20)+(H17*0.20)+((6-I17)*0.10),2))</x:f>
      </x:c>
      <x:c r="N17" t="str">
        <x:f>IF(A17="","",IF(M17&gt;=4,"Very High",IF(M17&gt;=3,"High",IF(M17&gt;=2,"Medium","Low"))))</x:f>
      </x:c>
      <x:c r="O17" t="str">
        <x:f>IF(A17="","",IF(I17&lt;=2,"Wave 3",IF(M17&gt;=4,"Wave 3",IF(M17&gt;=3,"Wave 2","Wave 1"))))</x:f>
      </x:c>
    </x:row>
    <x:row r="18">
      <x:c r="L18" s="26"/>
      <x:c r="M18" s="26" t="str">
        <x:f>IF(A18="","",ROUND((E18*0.25)+(F18*0.25)+(G18*0.20)+(H18*0.20)+((6-I18)*0.10),2))</x:f>
      </x:c>
      <x:c r="N18" t="str">
        <x:f>IF(A18="","",IF(M18&gt;=4,"Very High",IF(M18&gt;=3,"High",IF(M18&gt;=2,"Medium","Low"))))</x:f>
      </x:c>
      <x:c r="O18" t="str">
        <x:f>IF(A18="","",IF(I18&lt;=2,"Wave 3",IF(M18&gt;=4,"Wave 3",IF(M18&gt;=3,"Wave 2","Wave 1"))))</x:f>
      </x:c>
    </x:row>
    <x:row r="19">
      <x:c r="L19" s="26"/>
      <x:c r="M19" s="26" t="str">
        <x:f>IF(A19="","",ROUND((E19*0.25)+(F19*0.25)+(G19*0.20)+(H19*0.20)+((6-I19)*0.10),2))</x:f>
      </x:c>
      <x:c r="N19" t="str">
        <x:f>IF(A19="","",IF(M19&gt;=4,"Very High",IF(M19&gt;=3,"High",IF(M19&gt;=2,"Medium","Low"))))</x:f>
      </x:c>
      <x:c r="O19" t="str">
        <x:f>IF(A19="","",IF(I19&lt;=2,"Wave 3",IF(M19&gt;=4,"Wave 3",IF(M19&gt;=3,"Wave 2","Wave 1"))))</x:f>
      </x:c>
    </x:row>
    <x:row r="20">
      <x:c r="L20" s="26"/>
      <x:c r="M20" s="26" t="str">
        <x:f>IF(A20="","",ROUND((E20*0.25)+(F20*0.25)+(G20*0.20)+(H20*0.20)+((6-I20)*0.10),2))</x:f>
      </x:c>
      <x:c r="N20" t="str">
        <x:f>IF(A20="","",IF(M20&gt;=4,"Very High",IF(M20&gt;=3,"High",IF(M20&gt;=2,"Medium","Low"))))</x:f>
      </x:c>
      <x:c r="O20" t="str">
        <x:f>IF(A20="","",IF(I20&lt;=2,"Wave 3",IF(M20&gt;=4,"Wave 3",IF(M20&gt;=3,"Wave 2","Wave 1"))))</x:f>
      </x:c>
    </x:row>
    <x:row r="21">
      <x:c r="L21" s="26"/>
      <x:c r="M21" s="26" t="str">
        <x:f>IF(A21="","",ROUND((E21*0.25)+(F21*0.25)+(G21*0.20)+(H21*0.20)+((6-I21)*0.10),2))</x:f>
      </x:c>
      <x:c r="N21" t="str">
        <x:f>IF(A21="","",IF(M21&gt;=4,"Very High",IF(M21&gt;=3,"High",IF(M21&gt;=2,"Medium","Low"))))</x:f>
      </x:c>
      <x:c r="O21" t="str">
        <x:f>IF(A21="","",IF(I21&lt;=2,"Wave 3",IF(M21&gt;=4,"Wave 3",IF(M21&gt;=3,"Wave 2","Wave 1"))))</x:f>
      </x:c>
    </x:row>
    <x:row r="22">
      <x:c r="L22" s="26"/>
      <x:c r="M22" s="26" t="str">
        <x:f>IF(A22="","",ROUND((E22*0.25)+(F22*0.25)+(G22*0.20)+(H22*0.20)+((6-I22)*0.10),2))</x:f>
      </x:c>
      <x:c r="N22" t="str">
        <x:f>IF(A22="","",IF(M22&gt;=4,"Very High",IF(M22&gt;=3,"High",IF(M22&gt;=2,"Medium","Low"))))</x:f>
      </x:c>
      <x:c r="O22" t="str">
        <x:f>IF(A22="","",IF(I22&lt;=2,"Wave 3",IF(M22&gt;=4,"Wave 3",IF(M22&gt;=3,"Wave 2","Wave 1"))))</x:f>
      </x:c>
    </x:row>
    <x:row r="23">
      <x:c r="L23" s="26"/>
      <x:c r="M23" s="26" t="str">
        <x:f>IF(A23="","",ROUND((E23*0.25)+(F23*0.25)+(G23*0.20)+(H23*0.20)+((6-I23)*0.10),2))</x:f>
      </x:c>
      <x:c r="N23" t="str">
        <x:f>IF(A23="","",IF(M23&gt;=4,"Very High",IF(M23&gt;=3,"High",IF(M23&gt;=2,"Medium","Low"))))</x:f>
      </x:c>
      <x:c r="O23" t="str">
        <x:f>IF(A23="","",IF(I23&lt;=2,"Wave 3",IF(M23&gt;=4,"Wave 3",IF(M23&gt;=3,"Wave 2","Wave 1"))))</x:f>
      </x:c>
    </x:row>
    <x:row r="24">
      <x:c r="L24" s="26"/>
      <x:c r="M24" s="26" t="str">
        <x:f>IF(A24="","",ROUND((E24*0.25)+(F24*0.25)+(G24*0.20)+(H24*0.20)+((6-I24)*0.10),2))</x:f>
      </x:c>
      <x:c r="N24" t="str">
        <x:f>IF(A24="","",IF(M24&gt;=4,"Very High",IF(M24&gt;=3,"High",IF(M24&gt;=2,"Medium","Low"))))</x:f>
      </x:c>
      <x:c r="O24" t="str">
        <x:f>IF(A24="","",IF(I24&lt;=2,"Wave 3",IF(M24&gt;=4,"Wave 3",IF(M24&gt;=3,"Wave 2","Wave 1"))))</x:f>
      </x:c>
    </x:row>
    <x:row r="25">
      <x:c r="L25" s="26"/>
      <x:c r="M25" s="26" t="str">
        <x:f>IF(A25="","",ROUND((E25*0.25)+(F25*0.25)+(G25*0.20)+(H25*0.20)+((6-I25)*0.10),2))</x:f>
      </x:c>
      <x:c r="N25" t="str">
        <x:f>IF(A25="","",IF(M25&gt;=4,"Very High",IF(M25&gt;=3,"High",IF(M25&gt;=2,"Medium","Low"))))</x:f>
      </x:c>
      <x:c r="O25" t="str">
        <x:f>IF(A25="","",IF(I25&lt;=2,"Wave 3",IF(M25&gt;=4,"Wave 3",IF(M25&gt;=3,"Wave 2","Wave 1"))))</x:f>
      </x:c>
    </x:row>
    <x:row r="26">
      <x:c r="L26" s="26"/>
      <x:c r="M26" s="26" t="str">
        <x:f>IF(A26="","",ROUND((E26*0.25)+(F26*0.25)+(G26*0.20)+(H26*0.20)+((6-I26)*0.10),2))</x:f>
      </x:c>
      <x:c r="N26" t="str">
        <x:f>IF(A26="","",IF(M26&gt;=4,"Very High",IF(M26&gt;=3,"High",IF(M26&gt;=2,"Medium","Low"))))</x:f>
      </x:c>
      <x:c r="O26" t="str">
        <x:f>IF(A26="","",IF(I26&lt;=2,"Wave 3",IF(M26&gt;=4,"Wave 3",IF(M26&gt;=3,"Wave 2","Wave 1"))))</x:f>
      </x:c>
    </x:row>
    <x:row r="27">
      <x:c r="L27" s="26"/>
      <x:c r="M27" s="26" t="str">
        <x:f>IF(A27="","",ROUND((E27*0.25)+(F27*0.25)+(G27*0.20)+(H27*0.20)+((6-I27)*0.10),2))</x:f>
      </x:c>
      <x:c r="N27" t="str">
        <x:f>IF(A27="","",IF(M27&gt;=4,"Very High",IF(M27&gt;=3,"High",IF(M27&gt;=2,"Medium","Low"))))</x:f>
      </x:c>
      <x:c r="O27" t="str">
        <x:f>IF(A27="","",IF(I27&lt;=2,"Wave 3",IF(M27&gt;=4,"Wave 3",IF(M27&gt;=3,"Wave 2","Wave 1"))))</x:f>
      </x:c>
    </x:row>
    <x:row r="28">
      <x:c r="L28" s="26"/>
      <x:c r="M28" s="26" t="str">
        <x:f>IF(A28="","",ROUND((E28*0.25)+(F28*0.25)+(G28*0.20)+(H28*0.20)+((6-I28)*0.10),2))</x:f>
      </x:c>
      <x:c r="N28" t="str">
        <x:f>IF(A28="","",IF(M28&gt;=4,"Very High",IF(M28&gt;=3,"High",IF(M28&gt;=2,"Medium","Low"))))</x:f>
      </x:c>
      <x:c r="O28" t="str">
        <x:f>IF(A28="","",IF(I28&lt;=2,"Wave 3",IF(M28&gt;=4,"Wave 3",IF(M28&gt;=3,"Wave 2","Wave 1"))))</x:f>
      </x:c>
    </x:row>
    <x:row r="29">
      <x:c r="L29" s="26"/>
      <x:c r="M29" s="26" t="str">
        <x:f>IF(A29="","",ROUND((E29*0.25)+(F29*0.25)+(G29*0.20)+(H29*0.20)+((6-I29)*0.10),2))</x:f>
      </x:c>
      <x:c r="N29" t="str">
        <x:f>IF(A29="","",IF(M29&gt;=4,"Very High",IF(M29&gt;=3,"High",IF(M29&gt;=2,"Medium","Low"))))</x:f>
      </x:c>
      <x:c r="O29" t="str">
        <x:f>IF(A29="","",IF(I29&lt;=2,"Wave 3",IF(M29&gt;=4,"Wave 3",IF(M29&gt;=3,"Wave 2","Wave 1"))))</x:f>
      </x:c>
    </x:row>
    <x:row r="30">
      <x:c r="L30" s="26"/>
      <x:c r="M30" s="26" t="str">
        <x:f>IF(A30="","",ROUND((E30*0.25)+(F30*0.25)+(G30*0.20)+(H30*0.20)+((6-I30)*0.10),2))</x:f>
      </x:c>
      <x:c r="N30" t="str">
        <x:f>IF(A30="","",IF(M30&gt;=4,"Very High",IF(M30&gt;=3,"High",IF(M30&gt;=2,"Medium","Low"))))</x:f>
      </x:c>
      <x:c r="O30" t="str">
        <x:f>IF(A30="","",IF(I30&lt;=2,"Wave 3",IF(M30&gt;=4,"Wave 3",IF(M30&gt;=3,"Wave 2","Wave 1"))))</x:f>
      </x:c>
    </x:row>
    <x:row r="31">
      <x:c r="L31" s="26"/>
      <x:c r="M31" s="26" t="str">
        <x:f>IF(A31="","",ROUND((E31*0.25)+(F31*0.25)+(G31*0.20)+(H31*0.20)+((6-I31)*0.10),2))</x:f>
      </x:c>
      <x:c r="N31" t="str">
        <x:f>IF(A31="","",IF(M31&gt;=4,"Very High",IF(M31&gt;=3,"High",IF(M31&gt;=2,"Medium","Low"))))</x:f>
      </x:c>
      <x:c r="O31" t="str">
        <x:f>IF(A31="","",IF(I31&lt;=2,"Wave 3",IF(M31&gt;=4,"Wave 3",IF(M31&gt;=3,"Wave 2","Wave 1"))))</x:f>
      </x:c>
    </x:row>
    <x:row r="32">
      <x:c r="L32" s="26"/>
      <x:c r="M32" s="26" t="str">
        <x:f>IF(A32="","",ROUND((E32*0.25)+(F32*0.25)+(G32*0.20)+(H32*0.20)+((6-I32)*0.10),2))</x:f>
      </x:c>
      <x:c r="N32" t="str">
        <x:f>IF(A32="","",IF(M32&gt;=4,"Very High",IF(M32&gt;=3,"High",IF(M32&gt;=2,"Medium","Low"))))</x:f>
      </x:c>
      <x:c r="O32" t="str">
        <x:f>IF(A32="","",IF(I32&lt;=2,"Wave 3",IF(M32&gt;=4,"Wave 3",IF(M32&gt;=3,"Wave 2","Wave 1"))))</x:f>
      </x:c>
    </x:row>
    <x:row r="33">
      <x:c r="L33" s="26"/>
      <x:c r="M33" s="26" t="str">
        <x:f>IF(A33="","",ROUND((E33*0.25)+(F33*0.25)+(G33*0.20)+(H33*0.20)+((6-I33)*0.10),2))</x:f>
      </x:c>
      <x:c r="N33" t="str">
        <x:f>IF(A33="","",IF(M33&gt;=4,"Very High",IF(M33&gt;=3,"High",IF(M33&gt;=2,"Medium","Low"))))</x:f>
      </x:c>
      <x:c r="O33" t="str">
        <x:f>IF(A33="","",IF(I33&lt;=2,"Wave 3",IF(M33&gt;=4,"Wave 3",IF(M33&gt;=3,"Wave 2","Wave 1"))))</x:f>
      </x:c>
    </x:row>
    <x:row r="34">
      <x:c r="L34" s="26"/>
      <x:c r="M34" s="26" t="str">
        <x:f>IF(A34="","",ROUND((E34*0.25)+(F34*0.25)+(G34*0.20)+(H34*0.20)+((6-I34)*0.10),2))</x:f>
      </x:c>
      <x:c r="N34" t="str">
        <x:f>IF(A34="","",IF(M34&gt;=4,"Very High",IF(M34&gt;=3,"High",IF(M34&gt;=2,"Medium","Low"))))</x:f>
      </x:c>
      <x:c r="O34" t="str">
        <x:f>IF(A34="","",IF(I34&lt;=2,"Wave 3",IF(M34&gt;=4,"Wave 3",IF(M34&gt;=3,"Wave 2","Wave 1"))))</x:f>
      </x:c>
    </x:row>
    <x:row r="35">
      <x:c r="L35" s="26"/>
      <x:c r="M35" s="26" t="str">
        <x:f>IF(A35="","",ROUND((E35*0.25)+(F35*0.25)+(G35*0.20)+(H35*0.20)+((6-I35)*0.10),2))</x:f>
      </x:c>
      <x:c r="N35" t="str">
        <x:f>IF(A35="","",IF(M35&gt;=4,"Very High",IF(M35&gt;=3,"High",IF(M35&gt;=2,"Medium","Low"))))</x:f>
      </x:c>
      <x:c r="O35" t="str">
        <x:f>IF(A35="","",IF(I35&lt;=2,"Wave 3",IF(M35&gt;=4,"Wave 3",IF(M35&gt;=3,"Wave 2","Wave 1"))))</x:f>
      </x:c>
    </x:row>
    <x:row r="36">
      <x:c r="L36" s="26"/>
      <x:c r="M36" s="26" t="str">
        <x:f>IF(A36="","",ROUND((E36*0.25)+(F36*0.25)+(G36*0.20)+(H36*0.20)+((6-I36)*0.10),2))</x:f>
      </x:c>
      <x:c r="N36" t="str">
        <x:f>IF(A36="","",IF(M36&gt;=4,"Very High",IF(M36&gt;=3,"High",IF(M36&gt;=2,"Medium","Low"))))</x:f>
      </x:c>
      <x:c r="O36" t="str">
        <x:f>IF(A36="","",IF(I36&lt;=2,"Wave 3",IF(M36&gt;=4,"Wave 3",IF(M36&gt;=3,"Wave 2","Wave 1"))))</x:f>
      </x:c>
    </x:row>
    <x:row r="37">
      <x:c r="L37" s="26"/>
      <x:c r="M37" s="26" t="str">
        <x:f>IF(A37="","",ROUND((E37*0.25)+(F37*0.25)+(G37*0.20)+(H37*0.20)+((6-I37)*0.10),2))</x:f>
      </x:c>
      <x:c r="N37" t="str">
        <x:f>IF(A37="","",IF(M37&gt;=4,"Very High",IF(M37&gt;=3,"High",IF(M37&gt;=2,"Medium","Low"))))</x:f>
      </x:c>
      <x:c r="O37" t="str">
        <x:f>IF(A37="","",IF(I37&lt;=2,"Wave 3",IF(M37&gt;=4,"Wave 3",IF(M37&gt;=3,"Wave 2","Wave 1"))))</x:f>
      </x:c>
    </x:row>
    <x:row r="38">
      <x:c r="L38" s="26"/>
      <x:c r="M38" s="26" t="str">
        <x:f>IF(A38="","",ROUND((E38*0.25)+(F38*0.25)+(G38*0.20)+(H38*0.20)+((6-I38)*0.10),2))</x:f>
      </x:c>
      <x:c r="N38" t="str">
        <x:f>IF(A38="","",IF(M38&gt;=4,"Very High",IF(M38&gt;=3,"High",IF(M38&gt;=2,"Medium","Low"))))</x:f>
      </x:c>
      <x:c r="O38" t="str">
        <x:f>IF(A38="","",IF(I38&lt;=2,"Wave 3",IF(M38&gt;=4,"Wave 3",IF(M38&gt;=3,"Wave 2","Wave 1"))))</x:f>
      </x:c>
    </x:row>
    <x:row r="39">
      <x:c r="L39" s="26"/>
      <x:c r="M39" s="26" t="str">
        <x:f>IF(A39="","",ROUND((E39*0.25)+(F39*0.25)+(G39*0.20)+(H39*0.20)+((6-I39)*0.10),2))</x:f>
      </x:c>
      <x:c r="N39" t="str">
        <x:f>IF(A39="","",IF(M39&gt;=4,"Very High",IF(M39&gt;=3,"High",IF(M39&gt;=2,"Medium","Low"))))</x:f>
      </x:c>
      <x:c r="O39" t="str">
        <x:f>IF(A39="","",IF(I39&lt;=2,"Wave 3",IF(M39&gt;=4,"Wave 3",IF(M39&gt;=3,"Wave 2","Wave 1"))))</x:f>
      </x:c>
    </x:row>
    <x:row r="40">
      <x:c r="L40" s="26"/>
      <x:c r="M40" s="26" t="str">
        <x:f>IF(A40="","",ROUND((E40*0.25)+(F40*0.25)+(G40*0.20)+(H40*0.20)+((6-I40)*0.10),2))</x:f>
      </x:c>
      <x:c r="N40" t="str">
        <x:f>IF(A40="","",IF(M40&gt;=4,"Very High",IF(M40&gt;=3,"High",IF(M40&gt;=2,"Medium","Low"))))</x:f>
      </x:c>
      <x:c r="O40" t="str">
        <x:f>IF(A40="","",IF(I40&lt;=2,"Wave 3",IF(M40&gt;=4,"Wave 3",IF(M40&gt;=3,"Wave 2","Wave 1"))))</x:f>
      </x:c>
    </x:row>
    <x:row r="41">
      <x:c r="L41" s="26"/>
      <x:c r="M41" s="26" t="str">
        <x:f>IF(A41="","",ROUND((E41*0.25)+(F41*0.25)+(G41*0.20)+(H41*0.20)+((6-I41)*0.10),2))</x:f>
      </x:c>
      <x:c r="N41" t="str">
        <x:f>IF(A41="","",IF(M41&gt;=4,"Very High",IF(M41&gt;=3,"High",IF(M41&gt;=2,"Medium","Low"))))</x:f>
      </x:c>
      <x:c r="O41" t="str">
        <x:f>IF(A41="","",IF(I41&lt;=2,"Wave 3",IF(M41&gt;=4,"Wave 3",IF(M41&gt;=3,"Wave 2","Wave 1"))))</x:f>
      </x:c>
    </x:row>
    <x:row r="42">
      <x:c r="L42" s="26"/>
      <x:c r="M42" s="26" t="str">
        <x:f>IF(A42="","",ROUND((E42*0.25)+(F42*0.25)+(G42*0.20)+(H42*0.20)+((6-I42)*0.10),2))</x:f>
      </x:c>
      <x:c r="N42" t="str">
        <x:f>IF(A42="","",IF(M42&gt;=4,"Very High",IF(M42&gt;=3,"High",IF(M42&gt;=2,"Medium","Low"))))</x:f>
      </x:c>
      <x:c r="O42" t="str">
        <x:f>IF(A42="","",IF(I42&lt;=2,"Wave 3",IF(M42&gt;=4,"Wave 3",IF(M42&gt;=3,"Wave 2","Wave 1"))))</x:f>
      </x:c>
    </x:row>
    <x:row r="43">
      <x:c r="L43" s="26"/>
      <x:c r="M43" s="26" t="str">
        <x:f>IF(A43="","",ROUND((E43*0.25)+(F43*0.25)+(G43*0.20)+(H43*0.20)+((6-I43)*0.10),2))</x:f>
      </x:c>
      <x:c r="N43" t="str">
        <x:f>IF(A43="","",IF(M43&gt;=4,"Very High",IF(M43&gt;=3,"High",IF(M43&gt;=2,"Medium","Low"))))</x:f>
      </x:c>
      <x:c r="O43" t="str">
        <x:f>IF(A43="","",IF(I43&lt;=2,"Wave 3",IF(M43&gt;=4,"Wave 3",IF(M43&gt;=3,"Wave 2","Wave 1"))))</x:f>
      </x:c>
    </x:row>
    <x:row r="44">
      <x:c r="L44" s="26"/>
      <x:c r="M44" s="26" t="str">
        <x:f>IF(A44="","",ROUND((E44*0.25)+(F44*0.25)+(G44*0.20)+(H44*0.20)+((6-I44)*0.10),2))</x:f>
      </x:c>
      <x:c r="N44" t="str">
        <x:f>IF(A44="","",IF(M44&gt;=4,"Very High",IF(M44&gt;=3,"High",IF(M44&gt;=2,"Medium","Low"))))</x:f>
      </x:c>
      <x:c r="O44" t="str">
        <x:f>IF(A44="","",IF(I44&lt;=2,"Wave 3",IF(M44&gt;=4,"Wave 3",IF(M44&gt;=3,"Wave 2","Wave 1"))))</x:f>
      </x:c>
    </x:row>
    <x:row r="45">
      <x:c r="L45" s="26"/>
      <x:c r="M45" s="26" t="str">
        <x:f>IF(A45="","",ROUND((E45*0.25)+(F45*0.25)+(G45*0.20)+(H45*0.20)+((6-I45)*0.10),2))</x:f>
      </x:c>
      <x:c r="N45" t="str">
        <x:f>IF(A45="","",IF(M45&gt;=4,"Very High",IF(M45&gt;=3,"High",IF(M45&gt;=2,"Medium","Low"))))</x:f>
      </x:c>
      <x:c r="O45" t="str">
        <x:f>IF(A45="","",IF(I45&lt;=2,"Wave 3",IF(M45&gt;=4,"Wave 3",IF(M45&gt;=3,"Wave 2","Wave 1"))))</x:f>
      </x:c>
    </x:row>
    <x:row r="46">
      <x:c r="L46" s="26"/>
      <x:c r="M46" s="26" t="str">
        <x:f>IF(A46="","",ROUND((E46*0.25)+(F46*0.25)+(G46*0.20)+(H46*0.20)+((6-I46)*0.10),2))</x:f>
      </x:c>
      <x:c r="N46" t="str">
        <x:f>IF(A46="","",IF(M46&gt;=4,"Very High",IF(M46&gt;=3,"High",IF(M46&gt;=2,"Medium","Low"))))</x:f>
      </x:c>
      <x:c r="O46" t="str">
        <x:f>IF(A46="","",IF(I46&lt;=2,"Wave 3",IF(M46&gt;=4,"Wave 3",IF(M46&gt;=3,"Wave 2","Wave 1"))))</x:f>
      </x:c>
    </x:row>
    <x:row r="47">
      <x:c r="L47" s="26"/>
      <x:c r="M47" s="26" t="str">
        <x:f>IF(A47="","",ROUND((E47*0.25)+(F47*0.25)+(G47*0.20)+(H47*0.20)+((6-I47)*0.10),2))</x:f>
      </x:c>
      <x:c r="N47" t="str">
        <x:f>IF(A47="","",IF(M47&gt;=4,"Very High",IF(M47&gt;=3,"High",IF(M47&gt;=2,"Medium","Low"))))</x:f>
      </x:c>
      <x:c r="O47" t="str">
        <x:f>IF(A47="","",IF(I47&lt;=2,"Wave 3",IF(M47&gt;=4,"Wave 3",IF(M47&gt;=3,"Wave 2","Wave 1"))))</x:f>
      </x:c>
    </x:row>
    <x:row r="48">
      <x:c r="L48" s="26"/>
      <x:c r="M48" s="26" t="str">
        <x:f>IF(A48="","",ROUND((E48*0.25)+(F48*0.25)+(G48*0.20)+(H48*0.20)+((6-I48)*0.10),2))</x:f>
      </x:c>
      <x:c r="N48" t="str">
        <x:f>IF(A48="","",IF(M48&gt;=4,"Very High",IF(M48&gt;=3,"High",IF(M48&gt;=2,"Medium","Low"))))</x:f>
      </x:c>
      <x:c r="O48" t="str">
        <x:f>IF(A48="","",IF(I48&lt;=2,"Wave 3",IF(M48&gt;=4,"Wave 3",IF(M48&gt;=3,"Wave 2","Wave 1"))))</x:f>
      </x:c>
    </x:row>
    <x:row r="49">
      <x:c r="L49" s="26"/>
      <x:c r="M49" s="26" t="str">
        <x:f>IF(A49="","",ROUND((E49*0.25)+(F49*0.25)+(G49*0.20)+(H49*0.20)+((6-I49)*0.10),2))</x:f>
      </x:c>
      <x:c r="N49" t="str">
        <x:f>IF(A49="","",IF(M49&gt;=4,"Very High",IF(M49&gt;=3,"High",IF(M49&gt;=2,"Medium","Low"))))</x:f>
      </x:c>
      <x:c r="O49" t="str">
        <x:f>IF(A49="","",IF(I49&lt;=2,"Wave 3",IF(M49&gt;=4,"Wave 3",IF(M49&gt;=3,"Wave 2","Wave 1"))))</x:f>
      </x:c>
    </x:row>
    <x:row r="50">
      <x:c r="L50" s="26"/>
      <x:c r="M50" s="26" t="str">
        <x:f>IF(A50="","",ROUND((E50*0.25)+(F50*0.25)+(G50*0.20)+(H50*0.20)+((6-I50)*0.10),2))</x:f>
      </x:c>
      <x:c r="N50" t="str">
        <x:f>IF(A50="","",IF(M50&gt;=4,"Very High",IF(M50&gt;=3,"High",IF(M50&gt;=2,"Medium","Low"))))</x:f>
      </x:c>
      <x:c r="O50" t="str">
        <x:f>IF(A50="","",IF(I50&lt;=2,"Wave 3",IF(M50&gt;=4,"Wave 3",IF(M50&gt;=3,"Wave 2","Wave 1"))))</x:f>
      </x:c>
    </x:row>
    <x:row r="51">
      <x:c r="L51" s="26"/>
      <x:c r="M51" s="26" t="str">
        <x:f>IF(A51="","",ROUND((E51*0.25)+(F51*0.25)+(G51*0.20)+(H51*0.20)+((6-I51)*0.10),2))</x:f>
      </x:c>
      <x:c r="N51" t="str">
        <x:f>IF(A51="","",IF(M51&gt;=4,"Very High",IF(M51&gt;=3,"High",IF(M51&gt;=2,"Medium","Low"))))</x:f>
      </x:c>
      <x:c r="O51" t="str">
        <x:f>IF(A51="","",IF(I51&lt;=2,"Wave 3",IF(M51&gt;=4,"Wave 3",IF(M51&gt;=3,"Wave 2","Wave 1"))))</x:f>
      </x:c>
    </x:row>
    <x:row r="52">
      <x:c r="L52" s="26"/>
      <x:c r="M52" s="26" t="str">
        <x:f>IF(A52="","",ROUND((E52*0.25)+(F52*0.25)+(G52*0.20)+(H52*0.20)+((6-I52)*0.10),2))</x:f>
      </x:c>
      <x:c r="N52" t="str">
        <x:f>IF(A52="","",IF(M52&gt;=4,"Very High",IF(M52&gt;=3,"High",IF(M52&gt;=2,"Medium","Low"))))</x:f>
      </x:c>
      <x:c r="O52" t="str">
        <x:f>IF(A52="","",IF(I52&lt;=2,"Wave 3",IF(M52&gt;=4,"Wave 3",IF(M52&gt;=3,"Wave 2","Wave 1"))))</x:f>
      </x:c>
    </x:row>
    <x:row r="53">
      <x:c r="L53" s="26"/>
      <x:c r="M53" s="26" t="str">
        <x:f>IF(A53="","",ROUND((E53*0.25)+(F53*0.25)+(G53*0.20)+(H53*0.20)+((6-I53)*0.10),2))</x:f>
      </x:c>
      <x:c r="N53" t="str">
        <x:f>IF(A53="","",IF(M53&gt;=4,"Very High",IF(M53&gt;=3,"High",IF(M53&gt;=2,"Medium","Low"))))</x:f>
      </x:c>
      <x:c r="O53" t="str">
        <x:f>IF(A53="","",IF(I53&lt;=2,"Wave 3",IF(M53&gt;=4,"Wave 3",IF(M53&gt;=3,"Wave 2","Wave 1"))))</x:f>
      </x:c>
    </x:row>
    <x:row r="54">
      <x:c r="L54" s="26"/>
      <x:c r="M54" s="26" t="str">
        <x:f>IF(A54="","",ROUND((E54*0.25)+(F54*0.25)+(G54*0.20)+(H54*0.20)+((6-I54)*0.10),2))</x:f>
      </x:c>
      <x:c r="N54" t="str">
        <x:f>IF(A54="","",IF(M54&gt;=4,"Very High",IF(M54&gt;=3,"High",IF(M54&gt;=2,"Medium","Low"))))</x:f>
      </x:c>
      <x:c r="O54" t="str">
        <x:f>IF(A54="","",IF(I54&lt;=2,"Wave 3",IF(M54&gt;=4,"Wave 3",IF(M54&gt;=3,"Wave 2","Wave 1"))))</x:f>
      </x:c>
    </x:row>
    <x:row r="55">
      <x:c r="L55" s="26"/>
      <x:c r="M55" s="26" t="str">
        <x:f>IF(A55="","",ROUND((E55*0.25)+(F55*0.25)+(G55*0.20)+(H55*0.20)+((6-I55)*0.10),2))</x:f>
      </x:c>
      <x:c r="N55" t="str">
        <x:f>IF(A55="","",IF(M55&gt;=4,"Very High",IF(M55&gt;=3,"High",IF(M55&gt;=2,"Medium","Low"))))</x:f>
      </x:c>
      <x:c r="O55" t="str">
        <x:f>IF(A55="","",IF(I55&lt;=2,"Wave 3",IF(M55&gt;=4,"Wave 3",IF(M55&gt;=3,"Wave 2","Wave 1"))))</x:f>
      </x:c>
    </x:row>
    <x:row r="56">
      <x:c r="L56" s="26"/>
      <x:c r="M56" s="26" t="str">
        <x:f>IF(A56="","",ROUND((E56*0.25)+(F56*0.25)+(G56*0.20)+(H56*0.20)+((6-I56)*0.10),2))</x:f>
      </x:c>
      <x:c r="N56" t="str">
        <x:f>IF(A56="","",IF(M56&gt;=4,"Very High",IF(M56&gt;=3,"High",IF(M56&gt;=2,"Medium","Low"))))</x:f>
      </x:c>
      <x:c r="O56" t="str">
        <x:f>IF(A56="","",IF(I56&lt;=2,"Wave 3",IF(M56&gt;=4,"Wave 3",IF(M56&gt;=3,"Wave 2","Wave 1"))))</x:f>
      </x:c>
    </x:row>
    <x:row r="57">
      <x:c r="L57" s="26"/>
      <x:c r="M57" s="26" t="str">
        <x:f>IF(A57="","",ROUND((E57*0.25)+(F57*0.25)+(G57*0.20)+(H57*0.20)+((6-I57)*0.10),2))</x:f>
      </x:c>
      <x:c r="N57" t="str">
        <x:f>IF(A57="","",IF(M57&gt;=4,"Very High",IF(M57&gt;=3,"High",IF(M57&gt;=2,"Medium","Low"))))</x:f>
      </x:c>
      <x:c r="O57" t="str">
        <x:f>IF(A57="","",IF(I57&lt;=2,"Wave 3",IF(M57&gt;=4,"Wave 3",IF(M57&gt;=3,"Wave 2","Wave 1"))))</x:f>
      </x:c>
    </x:row>
    <x:row r="58">
      <x:c r="L58" s="26"/>
      <x:c r="M58" s="26" t="str">
        <x:f>IF(A58="","",ROUND((E58*0.25)+(F58*0.25)+(G58*0.20)+(H58*0.20)+((6-I58)*0.10),2))</x:f>
      </x:c>
      <x:c r="N58" t="str">
        <x:f>IF(A58="","",IF(M58&gt;=4,"Very High",IF(M58&gt;=3,"High",IF(M58&gt;=2,"Medium","Low"))))</x:f>
      </x:c>
      <x:c r="O58" t="str">
        <x:f>IF(A58="","",IF(I58&lt;=2,"Wave 3",IF(M58&gt;=4,"Wave 3",IF(M58&gt;=3,"Wave 2","Wave 1"))))</x:f>
      </x:c>
    </x:row>
    <x:row r="59">
      <x:c r="L59" s="26"/>
      <x:c r="M59" s="26" t="str">
        <x:f>IF(A59="","",ROUND((E59*0.25)+(F59*0.25)+(G59*0.20)+(H59*0.20)+((6-I59)*0.10),2))</x:f>
      </x:c>
      <x:c r="N59" t="str">
        <x:f>IF(A59="","",IF(M59&gt;=4,"Very High",IF(M59&gt;=3,"High",IF(M59&gt;=2,"Medium","Low"))))</x:f>
      </x:c>
      <x:c r="O59" t="str">
        <x:f>IF(A59="","",IF(I59&lt;=2,"Wave 3",IF(M59&gt;=4,"Wave 3",IF(M59&gt;=3,"Wave 2","Wave 1"))))</x:f>
      </x:c>
    </x:row>
    <x:row r="60">
      <x:c r="L60" s="26"/>
      <x:c r="M60" s="26" t="str">
        <x:f>IF(A60="","",ROUND((E60*0.25)+(F60*0.25)+(G60*0.20)+(H60*0.20)+((6-I60)*0.10),2))</x:f>
      </x:c>
      <x:c r="N60" t="str">
        <x:f>IF(A60="","",IF(M60&gt;=4,"Very High",IF(M60&gt;=3,"High",IF(M60&gt;=2,"Medium","Low"))))</x:f>
      </x:c>
      <x:c r="O60" t="str">
        <x:f>IF(A60="","",IF(I60&lt;=2,"Wave 3",IF(M60&gt;=4,"Wave 3",IF(M60&gt;=3,"Wave 2","Wave 1"))))</x:f>
      </x:c>
    </x:row>
    <x:row r="61">
      <x:c r="L61" s="26"/>
      <x:c r="M61" s="26" t="str">
        <x:f>IF(A61="","",ROUND((E61*0.25)+(F61*0.25)+(G61*0.20)+(H61*0.20)+((6-I61)*0.10),2))</x:f>
      </x:c>
      <x:c r="N61" t="str">
        <x:f>IF(A61="","",IF(M61&gt;=4,"Very High",IF(M61&gt;=3,"High",IF(M61&gt;=2,"Medium","Low"))))</x:f>
      </x:c>
      <x:c r="O61" t="str">
        <x:f>IF(A61="","",IF(I61&lt;=2,"Wave 3",IF(M61&gt;=4,"Wave 3",IF(M61&gt;=3,"Wave 2","Wave 1"))))</x:f>
      </x:c>
    </x:row>
    <x:row r="62">
      <x:c r="L62" s="26"/>
      <x:c r="M62" s="26" t="str">
        <x:f>IF(A62="","",ROUND((E62*0.25)+(F62*0.25)+(G62*0.20)+(H62*0.20)+((6-I62)*0.10),2))</x:f>
      </x:c>
      <x:c r="N62" t="str">
        <x:f>IF(A62="","",IF(M62&gt;=4,"Very High",IF(M62&gt;=3,"High",IF(M62&gt;=2,"Medium","Low"))))</x:f>
      </x:c>
      <x:c r="O62" t="str">
        <x:f>IF(A62="","",IF(I62&lt;=2,"Wave 3",IF(M62&gt;=4,"Wave 3",IF(M62&gt;=3,"Wave 2","Wave 1"))))</x:f>
      </x:c>
    </x:row>
    <x:row r="63">
      <x:c r="L63" s="26"/>
      <x:c r="M63" s="26" t="str">
        <x:f>IF(A63="","",ROUND((E63*0.25)+(F63*0.25)+(G63*0.20)+(H63*0.20)+((6-I63)*0.10),2))</x:f>
      </x:c>
      <x:c r="N63" t="str">
        <x:f>IF(A63="","",IF(M63&gt;=4,"Very High",IF(M63&gt;=3,"High",IF(M63&gt;=2,"Medium","Low"))))</x:f>
      </x:c>
      <x:c r="O63" t="str">
        <x:f>IF(A63="","",IF(I63&lt;=2,"Wave 3",IF(M63&gt;=4,"Wave 3",IF(M63&gt;=3,"Wave 2","Wave 1"))))</x:f>
      </x:c>
    </x:row>
    <x:row r="64">
      <x:c r="L64" s="26"/>
      <x:c r="M64" s="26" t="str">
        <x:f>IF(A64="","",ROUND((E64*0.25)+(F64*0.25)+(G64*0.20)+(H64*0.20)+((6-I64)*0.10),2))</x:f>
      </x:c>
      <x:c r="N64" t="str">
        <x:f>IF(A64="","",IF(M64&gt;=4,"Very High",IF(M64&gt;=3,"High",IF(M64&gt;=2,"Medium","Low"))))</x:f>
      </x:c>
      <x:c r="O64" t="str">
        <x:f>IF(A64="","",IF(I64&lt;=2,"Wave 3",IF(M64&gt;=4,"Wave 3",IF(M64&gt;=3,"Wave 2","Wave 1"))))</x:f>
      </x:c>
    </x:row>
    <x:row r="65">
      <x:c r="L65" s="26"/>
      <x:c r="M65" s="26" t="str">
        <x:f>IF(A65="","",ROUND((E65*0.25)+(F65*0.25)+(G65*0.20)+(H65*0.20)+((6-I65)*0.10),2))</x:f>
      </x:c>
      <x:c r="N65" t="str">
        <x:f>IF(A65="","",IF(M65&gt;=4,"Very High",IF(M65&gt;=3,"High",IF(M65&gt;=2,"Medium","Low"))))</x:f>
      </x:c>
      <x:c r="O65" t="str">
        <x:f>IF(A65="","",IF(I65&lt;=2,"Wave 3",IF(M65&gt;=4,"Wave 3",IF(M65&gt;=3,"Wave 2","Wave 1"))))</x:f>
      </x:c>
    </x:row>
    <x:row r="66">
      <x:c r="L66" s="26"/>
      <x:c r="M66" s="26" t="str">
        <x:f>IF(A66="","",ROUND((E66*0.25)+(F66*0.25)+(G66*0.20)+(H66*0.20)+((6-I66)*0.10),2))</x:f>
      </x:c>
      <x:c r="N66" t="str">
        <x:f>IF(A66="","",IF(M66&gt;=4,"Very High",IF(M66&gt;=3,"High",IF(M66&gt;=2,"Medium","Low"))))</x:f>
      </x:c>
      <x:c r="O66" t="str">
        <x:f>IF(A66="","",IF(I66&lt;=2,"Wave 3",IF(M66&gt;=4,"Wave 3",IF(M66&gt;=3,"Wave 2","Wave 1"))))</x:f>
      </x:c>
    </x:row>
    <x:row r="67">
      <x:c r="L67" s="26"/>
      <x:c r="M67" s="26" t="str">
        <x:f>IF(A67="","",ROUND((E67*0.25)+(F67*0.25)+(G67*0.20)+(H67*0.20)+((6-I67)*0.10),2))</x:f>
      </x:c>
      <x:c r="N67" t="str">
        <x:f>IF(A67="","",IF(M67&gt;=4,"Very High",IF(M67&gt;=3,"High",IF(M67&gt;=2,"Medium","Low"))))</x:f>
      </x:c>
      <x:c r="O67" t="str">
        <x:f>IF(A67="","",IF(I67&lt;=2,"Wave 3",IF(M67&gt;=4,"Wave 3",IF(M67&gt;=3,"Wave 2","Wave 1"))))</x:f>
      </x:c>
    </x:row>
    <x:row r="68">
      <x:c r="L68" s="26"/>
      <x:c r="M68" s="26" t="str">
        <x:f>IF(A68="","",ROUND((E68*0.25)+(F68*0.25)+(G68*0.20)+(H68*0.20)+((6-I68)*0.10),2))</x:f>
      </x:c>
      <x:c r="N68" t="str">
        <x:f>IF(A68="","",IF(M68&gt;=4,"Very High",IF(M68&gt;=3,"High",IF(M68&gt;=2,"Medium","Low"))))</x:f>
      </x:c>
      <x:c r="O68" t="str">
        <x:f>IF(A68="","",IF(I68&lt;=2,"Wave 3",IF(M68&gt;=4,"Wave 3",IF(M68&gt;=3,"Wave 2","Wave 1"))))</x:f>
      </x:c>
    </x:row>
    <x:row r="69">
      <x:c r="L69" s="26"/>
      <x:c r="M69" s="26" t="str">
        <x:f>IF(A69="","",ROUND((E69*0.25)+(F69*0.25)+(G69*0.20)+(H69*0.20)+((6-I69)*0.10),2))</x:f>
      </x:c>
      <x:c r="N69" t="str">
        <x:f>IF(A69="","",IF(M69&gt;=4,"Very High",IF(M69&gt;=3,"High",IF(M69&gt;=2,"Medium","Low"))))</x:f>
      </x:c>
      <x:c r="O69" t="str">
        <x:f>IF(A69="","",IF(I69&lt;=2,"Wave 3",IF(M69&gt;=4,"Wave 3",IF(M69&gt;=3,"Wave 2","Wave 1"))))</x:f>
      </x:c>
    </x:row>
    <x:row r="70">
      <x:c r="L70" s="26"/>
      <x:c r="M70" s="26" t="str">
        <x:f>IF(A70="","",ROUND((E70*0.25)+(F70*0.25)+(G70*0.20)+(H70*0.20)+((6-I70)*0.10),2))</x:f>
      </x:c>
      <x:c r="N70" t="str">
        <x:f>IF(A70="","",IF(M70&gt;=4,"Very High",IF(M70&gt;=3,"High",IF(M70&gt;=2,"Medium","Low"))))</x:f>
      </x:c>
      <x:c r="O70" t="str">
        <x:f>IF(A70="","",IF(I70&lt;=2,"Wave 3",IF(M70&gt;=4,"Wave 3",IF(M70&gt;=3,"Wave 2","Wave 1"))))</x:f>
      </x:c>
    </x:row>
    <x:row r="71">
      <x:c r="L71" s="26"/>
      <x:c r="M71" s="26" t="str">
        <x:f>IF(A71="","",ROUND((E71*0.25)+(F71*0.25)+(G71*0.20)+(H71*0.20)+((6-I71)*0.10),2))</x:f>
      </x:c>
      <x:c r="N71" t="str">
        <x:f>IF(A71="","",IF(M71&gt;=4,"Very High",IF(M71&gt;=3,"High",IF(M71&gt;=2,"Medium","Low"))))</x:f>
      </x:c>
      <x:c r="O71" t="str">
        <x:f>IF(A71="","",IF(I71&lt;=2,"Wave 3",IF(M71&gt;=4,"Wave 3",IF(M71&gt;=3,"Wave 2","Wave 1"))))</x:f>
      </x:c>
    </x:row>
    <x:row r="72">
      <x:c r="L72" s="26"/>
      <x:c r="M72" s="26" t="str">
        <x:f>IF(A72="","",ROUND((E72*0.25)+(F72*0.25)+(G72*0.20)+(H72*0.20)+((6-I72)*0.10),2))</x:f>
      </x:c>
      <x:c r="N72" t="str">
        <x:f>IF(A72="","",IF(M72&gt;=4,"Very High",IF(M72&gt;=3,"High",IF(M72&gt;=2,"Medium","Low"))))</x:f>
      </x:c>
      <x:c r="O72" t="str">
        <x:f>IF(A72="","",IF(I72&lt;=2,"Wave 3",IF(M72&gt;=4,"Wave 3",IF(M72&gt;=3,"Wave 2","Wave 1"))))</x:f>
      </x:c>
    </x:row>
    <x:row r="73">
      <x:c r="L73" s="26"/>
      <x:c r="M73" s="26" t="str">
        <x:f>IF(A73="","",ROUND((E73*0.25)+(F73*0.25)+(G73*0.20)+(H73*0.20)+((6-I73)*0.10),2))</x:f>
      </x:c>
      <x:c r="N73" t="str">
        <x:f>IF(A73="","",IF(M73&gt;=4,"Very High",IF(M73&gt;=3,"High",IF(M73&gt;=2,"Medium","Low"))))</x:f>
      </x:c>
      <x:c r="O73" t="str">
        <x:f>IF(A73="","",IF(I73&lt;=2,"Wave 3",IF(M73&gt;=4,"Wave 3",IF(M73&gt;=3,"Wave 2","Wave 1"))))</x:f>
      </x:c>
    </x:row>
    <x:row r="74">
      <x:c r="L74" s="26"/>
      <x:c r="M74" s="26" t="str">
        <x:f>IF(A74="","",ROUND((E74*0.25)+(F74*0.25)+(G74*0.20)+(H74*0.20)+((6-I74)*0.10),2))</x:f>
      </x:c>
      <x:c r="N74" t="str">
        <x:f>IF(A74="","",IF(M74&gt;=4,"Very High",IF(M74&gt;=3,"High",IF(M74&gt;=2,"Medium","Low"))))</x:f>
      </x:c>
      <x:c r="O74" t="str">
        <x:f>IF(A74="","",IF(I74&lt;=2,"Wave 3",IF(M74&gt;=4,"Wave 3",IF(M74&gt;=3,"Wave 2","Wave 1"))))</x:f>
      </x:c>
    </x:row>
    <x:row r="75">
      <x:c r="L75" s="26"/>
      <x:c r="M75" s="26" t="str">
        <x:f>IF(A75="","",ROUND((E75*0.25)+(F75*0.25)+(G75*0.20)+(H75*0.20)+((6-I75)*0.10),2))</x:f>
      </x:c>
      <x:c r="N75" t="str">
        <x:f>IF(A75="","",IF(M75&gt;=4,"Very High",IF(M75&gt;=3,"High",IF(M75&gt;=2,"Medium","Low"))))</x:f>
      </x:c>
      <x:c r="O75" t="str">
        <x:f>IF(A75="","",IF(I75&lt;=2,"Wave 3",IF(M75&gt;=4,"Wave 3",IF(M75&gt;=3,"Wave 2","Wave 1"))))</x:f>
      </x:c>
    </x:row>
    <x:row r="76">
      <x:c r="L76" s="26"/>
      <x:c r="M76" s="26" t="str">
        <x:f>IF(A76="","",ROUND((E76*0.25)+(F76*0.25)+(G76*0.20)+(H76*0.20)+((6-I76)*0.10),2))</x:f>
      </x:c>
      <x:c r="N76" t="str">
        <x:f>IF(A76="","",IF(M76&gt;=4,"Very High",IF(M76&gt;=3,"High",IF(M76&gt;=2,"Medium","Low"))))</x:f>
      </x:c>
      <x:c r="O76" t="str">
        <x:f>IF(A76="","",IF(I76&lt;=2,"Wave 3",IF(M76&gt;=4,"Wave 3",IF(M76&gt;=3,"Wave 2","Wave 1"))))</x:f>
      </x:c>
    </x:row>
    <x:row r="77">
      <x:c r="L77" s="26"/>
      <x:c r="M77" s="26" t="str">
        <x:f>IF(A77="","",ROUND((E77*0.25)+(F77*0.25)+(G77*0.20)+(H77*0.20)+((6-I77)*0.10),2))</x:f>
      </x:c>
      <x:c r="N77" t="str">
        <x:f>IF(A77="","",IF(M77&gt;=4,"Very High",IF(M77&gt;=3,"High",IF(M77&gt;=2,"Medium","Low"))))</x:f>
      </x:c>
      <x:c r="O77" t="str">
        <x:f>IF(A77="","",IF(I77&lt;=2,"Wave 3",IF(M77&gt;=4,"Wave 3",IF(M77&gt;=3,"Wave 2","Wave 1"))))</x:f>
      </x:c>
    </x:row>
    <x:row r="78">
      <x:c r="L78" s="26"/>
      <x:c r="M78" s="26" t="str">
        <x:f>IF(A78="","",ROUND((E78*0.25)+(F78*0.25)+(G78*0.20)+(H78*0.20)+((6-I78)*0.10),2))</x:f>
      </x:c>
      <x:c r="N78" t="str">
        <x:f>IF(A78="","",IF(M78&gt;=4,"Very High",IF(M78&gt;=3,"High",IF(M78&gt;=2,"Medium","Low"))))</x:f>
      </x:c>
      <x:c r="O78" t="str">
        <x:f>IF(A78="","",IF(I78&lt;=2,"Wave 3",IF(M78&gt;=4,"Wave 3",IF(M78&gt;=3,"Wave 2","Wave 1"))))</x:f>
      </x:c>
    </x:row>
    <x:row r="79">
      <x:c r="L79" s="26"/>
      <x:c r="M79" s="26" t="str">
        <x:f>IF(A79="","",ROUND((E79*0.25)+(F79*0.25)+(G79*0.20)+(H79*0.20)+((6-I79)*0.10),2))</x:f>
      </x:c>
      <x:c r="N79" t="str">
        <x:f>IF(A79="","",IF(M79&gt;=4,"Very High",IF(M79&gt;=3,"High",IF(M79&gt;=2,"Medium","Low"))))</x:f>
      </x:c>
      <x:c r="O79" t="str">
        <x:f>IF(A79="","",IF(I79&lt;=2,"Wave 3",IF(M79&gt;=4,"Wave 3",IF(M79&gt;=3,"Wave 2","Wave 1"))))</x:f>
      </x:c>
    </x:row>
    <x:row r="80">
      <x:c r="L80" s="26"/>
      <x:c r="M80" s="26" t="str">
        <x:f>IF(A80="","",ROUND((E80*0.25)+(F80*0.25)+(G80*0.20)+(H80*0.20)+((6-I80)*0.10),2))</x:f>
      </x:c>
      <x:c r="N80" t="str">
        <x:f>IF(A80="","",IF(M80&gt;=4,"Very High",IF(M80&gt;=3,"High",IF(M80&gt;=2,"Medium","Low"))))</x:f>
      </x:c>
      <x:c r="O80" t="str">
        <x:f>IF(A80="","",IF(I80&lt;=2,"Wave 3",IF(M80&gt;=4,"Wave 3",IF(M80&gt;=3,"Wave 2","Wave 1"))))</x:f>
      </x:c>
    </x:row>
    <x:row r="81">
      <x:c r="L81" s="26"/>
      <x:c r="M81" s="26" t="str">
        <x:f>IF(A81="","",ROUND((E81*0.25)+(F81*0.25)+(G81*0.20)+(H81*0.20)+((6-I81)*0.10),2))</x:f>
      </x:c>
      <x:c r="N81" t="str">
        <x:f>IF(A81="","",IF(M81&gt;=4,"Very High",IF(M81&gt;=3,"High",IF(M81&gt;=2,"Medium","Low"))))</x:f>
      </x:c>
      <x:c r="O81" t="str">
        <x:f>IF(A81="","",IF(I81&lt;=2,"Wave 3",IF(M81&gt;=4,"Wave 3",IF(M81&gt;=3,"Wave 2","Wave 1"))))</x:f>
      </x:c>
    </x:row>
    <x:row r="82">
      <x:c r="L82" s="26"/>
      <x:c r="M82" s="26" t="str">
        <x:f>IF(A82="","",ROUND((E82*0.25)+(F82*0.25)+(G82*0.20)+(H82*0.20)+((6-I82)*0.10),2))</x:f>
      </x:c>
      <x:c r="N82" t="str">
        <x:f>IF(A82="","",IF(M82&gt;=4,"Very High",IF(M82&gt;=3,"High",IF(M82&gt;=2,"Medium","Low"))))</x:f>
      </x:c>
      <x:c r="O82" t="str">
        <x:f>IF(A82="","",IF(I82&lt;=2,"Wave 3",IF(M82&gt;=4,"Wave 3",IF(M82&gt;=3,"Wave 2","Wave 1"))))</x:f>
      </x:c>
    </x:row>
    <x:row r="83">
      <x:c r="L83" s="26"/>
      <x:c r="M83" s="26" t="str">
        <x:f>IF(A83="","",ROUND((E83*0.25)+(F83*0.25)+(G83*0.20)+(H83*0.20)+((6-I83)*0.10),2))</x:f>
      </x:c>
      <x:c r="N83" t="str">
        <x:f>IF(A83="","",IF(M83&gt;=4,"Very High",IF(M83&gt;=3,"High",IF(M83&gt;=2,"Medium","Low"))))</x:f>
      </x:c>
      <x:c r="O83" t="str">
        <x:f>IF(A83="","",IF(I83&lt;=2,"Wave 3",IF(M83&gt;=4,"Wave 3",IF(M83&gt;=3,"Wave 2","Wave 1"))))</x:f>
      </x:c>
    </x:row>
    <x:row r="84">
      <x:c r="L84" s="26"/>
      <x:c r="M84" s="26" t="str">
        <x:f>IF(A84="","",ROUND((E84*0.25)+(F84*0.25)+(G84*0.20)+(H84*0.20)+((6-I84)*0.10),2))</x:f>
      </x:c>
      <x:c r="N84" t="str">
        <x:f>IF(A84="","",IF(M84&gt;=4,"Very High",IF(M84&gt;=3,"High",IF(M84&gt;=2,"Medium","Low"))))</x:f>
      </x:c>
      <x:c r="O84" t="str">
        <x:f>IF(A84="","",IF(I84&lt;=2,"Wave 3",IF(M84&gt;=4,"Wave 3",IF(M84&gt;=3,"Wave 2","Wave 1"))))</x:f>
      </x:c>
    </x:row>
    <x:row r="85">
      <x:c r="L85" s="26"/>
      <x:c r="M85" s="26" t="str">
        <x:f>IF(A85="","",ROUND((E85*0.25)+(F85*0.25)+(G85*0.20)+(H85*0.20)+((6-I85)*0.10),2))</x:f>
      </x:c>
      <x:c r="N85" t="str">
        <x:f>IF(A85="","",IF(M85&gt;=4,"Very High",IF(M85&gt;=3,"High",IF(M85&gt;=2,"Medium","Low"))))</x:f>
      </x:c>
      <x:c r="O85" t="str">
        <x:f>IF(A85="","",IF(I85&lt;=2,"Wave 3",IF(M85&gt;=4,"Wave 3",IF(M85&gt;=3,"Wave 2","Wave 1"))))</x:f>
      </x:c>
    </x:row>
    <x:row r="86">
      <x:c r="L86" s="26"/>
      <x:c r="M86" s="26" t="str">
        <x:f>IF(A86="","",ROUND((E86*0.25)+(F86*0.25)+(G86*0.20)+(H86*0.20)+((6-I86)*0.10),2))</x:f>
      </x:c>
      <x:c r="N86" t="str">
        <x:f>IF(A86="","",IF(M86&gt;=4,"Very High",IF(M86&gt;=3,"High",IF(M86&gt;=2,"Medium","Low"))))</x:f>
      </x:c>
      <x:c r="O86" t="str">
        <x:f>IF(A86="","",IF(I86&lt;=2,"Wave 3",IF(M86&gt;=4,"Wave 3",IF(M86&gt;=3,"Wave 2","Wave 1"))))</x:f>
      </x:c>
    </x:row>
    <x:row r="87">
      <x:c r="L87" s="26"/>
      <x:c r="M87" s="26" t="str">
        <x:f>IF(A87="","",ROUND((E87*0.25)+(F87*0.25)+(G87*0.20)+(H87*0.20)+((6-I87)*0.10),2))</x:f>
      </x:c>
      <x:c r="N87" t="str">
        <x:f>IF(A87="","",IF(M87&gt;=4,"Very High",IF(M87&gt;=3,"High",IF(M87&gt;=2,"Medium","Low"))))</x:f>
      </x:c>
      <x:c r="O87" t="str">
        <x:f>IF(A87="","",IF(I87&lt;=2,"Wave 3",IF(M87&gt;=4,"Wave 3",IF(M87&gt;=3,"Wave 2","Wave 1"))))</x:f>
      </x:c>
    </x:row>
    <x:row r="88">
      <x:c r="L88" s="26"/>
      <x:c r="M88" s="26" t="str">
        <x:f>IF(A88="","",ROUND((E88*0.25)+(F88*0.25)+(G88*0.20)+(H88*0.20)+((6-I88)*0.10),2))</x:f>
      </x:c>
      <x:c r="N88" t="str">
        <x:f>IF(A88="","",IF(M88&gt;=4,"Very High",IF(M88&gt;=3,"High",IF(M88&gt;=2,"Medium","Low"))))</x:f>
      </x:c>
      <x:c r="O88" t="str">
        <x:f>IF(A88="","",IF(I88&lt;=2,"Wave 3",IF(M88&gt;=4,"Wave 3",IF(M88&gt;=3,"Wave 2","Wave 1"))))</x:f>
      </x:c>
    </x:row>
    <x:row r="89">
      <x:c r="L89" s="26"/>
      <x:c r="M89" s="26" t="str">
        <x:f>IF(A89="","",ROUND((E89*0.25)+(F89*0.25)+(G89*0.20)+(H89*0.20)+((6-I89)*0.10),2))</x:f>
      </x:c>
      <x:c r="N89" t="str">
        <x:f>IF(A89="","",IF(M89&gt;=4,"Very High",IF(M89&gt;=3,"High",IF(M89&gt;=2,"Medium","Low"))))</x:f>
      </x:c>
      <x:c r="O89" t="str">
        <x:f>IF(A89="","",IF(I89&lt;=2,"Wave 3",IF(M89&gt;=4,"Wave 3",IF(M89&gt;=3,"Wave 2","Wave 1"))))</x:f>
      </x:c>
    </x:row>
    <x:row r="90">
      <x:c r="L90" s="26"/>
      <x:c r="M90" s="26" t="str">
        <x:f>IF(A90="","",ROUND((E90*0.25)+(F90*0.25)+(G90*0.20)+(H90*0.20)+((6-I90)*0.10),2))</x:f>
      </x:c>
      <x:c r="N90" t="str">
        <x:f>IF(A90="","",IF(M90&gt;=4,"Very High",IF(M90&gt;=3,"High",IF(M90&gt;=2,"Medium","Low"))))</x:f>
      </x:c>
      <x:c r="O90" t="str">
        <x:f>IF(A90="","",IF(I90&lt;=2,"Wave 3",IF(M90&gt;=4,"Wave 3",IF(M90&gt;=3,"Wave 2","Wave 1"))))</x:f>
      </x:c>
    </x:row>
    <x:row r="91">
      <x:c r="L91" s="26"/>
      <x:c r="M91" s="26" t="str">
        <x:f>IF(A91="","",ROUND((E91*0.25)+(F91*0.25)+(G91*0.20)+(H91*0.20)+((6-I91)*0.10),2))</x:f>
      </x:c>
      <x:c r="N91" t="str">
        <x:f>IF(A91="","",IF(M91&gt;=4,"Very High",IF(M91&gt;=3,"High",IF(M91&gt;=2,"Medium","Low"))))</x:f>
      </x:c>
      <x:c r="O91" t="str">
        <x:f>IF(A91="","",IF(I91&lt;=2,"Wave 3",IF(M91&gt;=4,"Wave 3",IF(M91&gt;=3,"Wave 2","Wave 1"))))</x:f>
      </x:c>
    </x:row>
    <x:row r="92">
      <x:c r="L92" s="26"/>
      <x:c r="M92" s="26" t="str">
        <x:f>IF(A92="","",ROUND((E92*0.25)+(F92*0.25)+(G92*0.20)+(H92*0.20)+((6-I92)*0.10),2))</x:f>
      </x:c>
      <x:c r="N92" t="str">
        <x:f>IF(A92="","",IF(M92&gt;=4,"Very High",IF(M92&gt;=3,"High",IF(M92&gt;=2,"Medium","Low"))))</x:f>
      </x:c>
      <x:c r="O92" t="str">
        <x:f>IF(A92="","",IF(I92&lt;=2,"Wave 3",IF(M92&gt;=4,"Wave 3",IF(M92&gt;=3,"Wave 2","Wave 1"))))</x:f>
      </x:c>
    </x:row>
    <x:row r="93">
      <x:c r="L93" s="26"/>
      <x:c r="M93" s="26" t="str">
        <x:f>IF(A93="","",ROUND((E93*0.25)+(F93*0.25)+(G93*0.20)+(H93*0.20)+((6-I93)*0.10),2))</x:f>
      </x:c>
      <x:c r="N93" t="str">
        <x:f>IF(A93="","",IF(M93&gt;=4,"Very High",IF(M93&gt;=3,"High",IF(M93&gt;=2,"Medium","Low"))))</x:f>
      </x:c>
      <x:c r="O93" t="str">
        <x:f>IF(A93="","",IF(I93&lt;=2,"Wave 3",IF(M93&gt;=4,"Wave 3",IF(M93&gt;=3,"Wave 2","Wave 1"))))</x:f>
      </x:c>
    </x:row>
    <x:row r="94">
      <x:c r="L94" s="26"/>
      <x:c r="M94" s="26" t="str">
        <x:f>IF(A94="","",ROUND((E94*0.25)+(F94*0.25)+(G94*0.20)+(H94*0.20)+((6-I94)*0.10),2))</x:f>
      </x:c>
      <x:c r="N94" t="str">
        <x:f>IF(A94="","",IF(M94&gt;=4,"Very High",IF(M94&gt;=3,"High",IF(M94&gt;=2,"Medium","Low"))))</x:f>
      </x:c>
      <x:c r="O94" t="str">
        <x:f>IF(A94="","",IF(I94&lt;=2,"Wave 3",IF(M94&gt;=4,"Wave 3",IF(M94&gt;=3,"Wave 2","Wave 1"))))</x:f>
      </x:c>
    </x:row>
    <x:row r="95">
      <x:c r="L95" s="26"/>
      <x:c r="M95" s="26" t="str">
        <x:f>IF(A95="","",ROUND((E95*0.25)+(F95*0.25)+(G95*0.20)+(H95*0.20)+((6-I95)*0.10),2))</x:f>
      </x:c>
      <x:c r="N95" t="str">
        <x:f>IF(A95="","",IF(M95&gt;=4,"Very High",IF(M95&gt;=3,"High",IF(M95&gt;=2,"Medium","Low"))))</x:f>
      </x:c>
      <x:c r="O95" t="str">
        <x:f>IF(A95="","",IF(I95&lt;=2,"Wave 3",IF(M95&gt;=4,"Wave 3",IF(M95&gt;=3,"Wave 2","Wave 1"))))</x:f>
      </x:c>
    </x:row>
    <x:row r="96">
      <x:c r="L96" s="26"/>
      <x:c r="M96" s="26" t="str">
        <x:f>IF(A96="","",ROUND((E96*0.25)+(F96*0.25)+(G96*0.20)+(H96*0.20)+((6-I96)*0.10),2))</x:f>
      </x:c>
      <x:c r="N96" t="str">
        <x:f>IF(A96="","",IF(M96&gt;=4,"Very High",IF(M96&gt;=3,"High",IF(M96&gt;=2,"Medium","Low"))))</x:f>
      </x:c>
      <x:c r="O96" t="str">
        <x:f>IF(A96="","",IF(I96&lt;=2,"Wave 3",IF(M96&gt;=4,"Wave 3",IF(M96&gt;=3,"Wave 2","Wave 1"))))</x:f>
      </x:c>
    </x:row>
    <x:row r="97">
      <x:c r="L97" s="26"/>
      <x:c r="M97" s="26" t="str">
        <x:f>IF(A97="","",ROUND((E97*0.25)+(F97*0.25)+(G97*0.20)+(H97*0.20)+((6-I97)*0.10),2))</x:f>
      </x:c>
      <x:c r="N97" t="str">
        <x:f>IF(A97="","",IF(M97&gt;=4,"Very High",IF(M97&gt;=3,"High",IF(M97&gt;=2,"Medium","Low"))))</x:f>
      </x:c>
      <x:c r="O97" t="str">
        <x:f>IF(A97="","",IF(I97&lt;=2,"Wave 3",IF(M97&gt;=4,"Wave 3",IF(M97&gt;=3,"Wave 2","Wave 1"))))</x:f>
      </x:c>
    </x:row>
    <x:row r="98">
      <x:c r="L98" s="26"/>
      <x:c r="M98" s="26" t="str">
        <x:f>IF(A98="","",ROUND((E98*0.25)+(F98*0.25)+(G98*0.20)+(H98*0.20)+((6-I98)*0.10),2))</x:f>
      </x:c>
      <x:c r="N98" t="str">
        <x:f>IF(A98="","",IF(M98&gt;=4,"Very High",IF(M98&gt;=3,"High",IF(M98&gt;=2,"Medium","Low"))))</x:f>
      </x:c>
      <x:c r="O98" t="str">
        <x:f>IF(A98="","",IF(I98&lt;=2,"Wave 3",IF(M98&gt;=4,"Wave 3",IF(M98&gt;=3,"Wave 2","Wave 1"))))</x:f>
      </x:c>
    </x:row>
    <x:row r="99">
      <x:c r="L99" s="26"/>
      <x:c r="M99" s="26" t="str">
        <x:f>IF(A99="","",ROUND((E99*0.25)+(F99*0.25)+(G99*0.20)+(H99*0.20)+((6-I99)*0.10),2))</x:f>
      </x:c>
      <x:c r="N99" t="str">
        <x:f>IF(A99="","",IF(M99&gt;=4,"Very High",IF(M99&gt;=3,"High",IF(M99&gt;=2,"Medium","Low"))))</x:f>
      </x:c>
      <x:c r="O99" t="str">
        <x:f>IF(A99="","",IF(I99&lt;=2,"Wave 3",IF(M99&gt;=4,"Wave 3",IF(M99&gt;=3,"Wave 2","Wave 1"))))</x:f>
      </x:c>
    </x:row>
    <x:row r="100">
      <x:c r="L100" s="26"/>
      <x:c r="M100" s="26" t="str">
        <x:f>IF(A100="","",ROUND((E100*0.25)+(F100*0.25)+(G100*0.20)+(H100*0.20)+((6-I100)*0.10),2))</x:f>
      </x:c>
      <x:c r="N100" t="str">
        <x:f>IF(A100="","",IF(M100&gt;=4,"Very High",IF(M100&gt;=3,"High",IF(M100&gt;=2,"Medium","Low"))))</x:f>
      </x:c>
      <x:c r="O100" t="str">
        <x:f>IF(A100="","",IF(I100&lt;=2,"Wave 3",IF(M100&gt;=4,"Wave 3",IF(M100&gt;=3,"Wave 2","Wave 1"))))</x:f>
      </x:c>
    </x:row>
    <x:row r="101">
      <x:c r="L101" s="26"/>
      <x:c r="M101" s="26" t="str">
        <x:f>IF(A101="","",ROUND((E101*0.25)+(F101*0.25)+(G101*0.20)+(H101*0.20)+((6-I101)*0.10),2))</x:f>
      </x:c>
      <x:c r="N101" t="str">
        <x:f>IF(A101="","",IF(M101&gt;=4,"Very High",IF(M101&gt;=3,"High",IF(M101&gt;=2,"Medium","Low"))))</x:f>
      </x:c>
      <x:c r="O101" t="str">
        <x:f>IF(A101="","",IF(I101&lt;=2,"Wave 3",IF(M101&gt;=4,"Wave 3",IF(M101&gt;=3,"Wave 2","Wave 1"))))</x:f>
      </x:c>
    </x:row>
    <x:row r="102">
      <x:c r="L102" s="26"/>
      <x:c r="M102" s="26" t="str">
        <x:f>IF(A102="","",ROUND((E102*0.25)+(F102*0.25)+(G102*0.20)+(H102*0.20)+((6-I102)*0.10),2))</x:f>
      </x:c>
      <x:c r="N102" t="str">
        <x:f>IF(A102="","",IF(M102&gt;=4,"Very High",IF(M102&gt;=3,"High",IF(M102&gt;=2,"Medium","Low"))))</x:f>
      </x:c>
      <x:c r="O102" t="str">
        <x:f>IF(A102="","",IF(I102&lt;=2,"Wave 3",IF(M102&gt;=4,"Wave 3",IF(M102&gt;=3,"Wave 2","Wave 1"))))</x:f>
      </x:c>
    </x:row>
    <x:row r="103">
      <x:c r="L103" s="26"/>
      <x:c r="M103" s="26" t="str">
        <x:f>IF(A103="","",ROUND((E103*0.25)+(F103*0.25)+(G103*0.20)+(H103*0.20)+((6-I103)*0.10),2))</x:f>
      </x:c>
      <x:c r="N103" t="str">
        <x:f>IF(A103="","",IF(M103&gt;=4,"Very High",IF(M103&gt;=3,"High",IF(M103&gt;=2,"Medium","Low"))))</x:f>
      </x:c>
      <x:c r="O103" t="str">
        <x:f>IF(A103="","",IF(I103&lt;=2,"Wave 3",IF(M103&gt;=4,"Wave 3",IF(M103&gt;=3,"Wave 2","Wave 1"))))</x:f>
      </x:c>
    </x:row>
    <x:row r="104">
      <x:c r="L104" s="26"/>
      <x:c r="M104" s="26" t="str">
        <x:f>IF(A104="","",ROUND((E104*0.25)+(F104*0.25)+(G104*0.20)+(H104*0.20)+((6-I104)*0.10),2))</x:f>
      </x:c>
      <x:c r="N104" t="str">
        <x:f>IF(A104="","",IF(M104&gt;=4,"Very High",IF(M104&gt;=3,"High",IF(M104&gt;=2,"Medium","Low"))))</x:f>
      </x:c>
      <x:c r="O104" t="str">
        <x:f>IF(A104="","",IF(I104&lt;=2,"Wave 3",IF(M104&gt;=4,"Wave 3",IF(M104&gt;=3,"Wave 2","Wave 1"))))</x:f>
      </x:c>
    </x:row>
    <x:row r="105">
      <x:c r="L105" s="26"/>
      <x:c r="M105" s="26" t="str">
        <x:f>IF(A105="","",ROUND((E105*0.25)+(F105*0.25)+(G105*0.20)+(H105*0.20)+((6-I105)*0.10),2))</x:f>
      </x:c>
      <x:c r="N105" t="str">
        <x:f>IF(A105="","",IF(M105&gt;=4,"Very High",IF(M105&gt;=3,"High",IF(M105&gt;=2,"Medium","Low"))))</x:f>
      </x:c>
      <x:c r="O105" t="str">
        <x:f>IF(A105="","",IF(I105&lt;=2,"Wave 3",IF(M105&gt;=4,"Wave 3",IF(M105&gt;=3,"Wave 2","Wave 1"))))</x:f>
      </x:c>
    </x:row>
    <x:row r="106">
      <x:c r="L106" s="26"/>
      <x:c r="M106" s="26" t="str">
        <x:f>IF(A106="","",ROUND((E106*0.25)+(F106*0.25)+(G106*0.20)+(H106*0.20)+((6-I106)*0.10),2))</x:f>
      </x:c>
      <x:c r="N106" t="str">
        <x:f>IF(A106="","",IF(M106&gt;=4,"Very High",IF(M106&gt;=3,"High",IF(M106&gt;=2,"Medium","Low"))))</x:f>
      </x:c>
      <x:c r="O106" t="str">
        <x:f>IF(A106="","",IF(I106&lt;=2,"Wave 3",IF(M106&gt;=4,"Wave 3",IF(M106&gt;=3,"Wave 2","Wave 1"))))</x:f>
      </x:c>
    </x:row>
    <x:row r="107">
      <x:c r="L107" s="26"/>
      <x:c r="M107" s="26" t="str">
        <x:f>IF(A107="","",ROUND((E107*0.25)+(F107*0.25)+(G107*0.20)+(H107*0.20)+((6-I107)*0.10),2))</x:f>
      </x:c>
      <x:c r="N107" t="str">
        <x:f>IF(A107="","",IF(M107&gt;=4,"Very High",IF(M107&gt;=3,"High",IF(M107&gt;=2,"Medium","Low"))))</x:f>
      </x:c>
      <x:c r="O107" t="str">
        <x:f>IF(A107="","",IF(I107&lt;=2,"Wave 3",IF(M107&gt;=4,"Wave 3",IF(M107&gt;=3,"Wave 2","Wave 1"))))</x:f>
      </x:c>
    </x:row>
    <x:row r="108">
      <x:c r="L108" s="26"/>
      <x:c r="M108" s="26" t="str">
        <x:f>IF(A108="","",ROUND((E108*0.25)+(F108*0.25)+(G108*0.20)+(H108*0.20)+((6-I108)*0.10),2))</x:f>
      </x:c>
      <x:c r="N108" t="str">
        <x:f>IF(A108="","",IF(M108&gt;=4,"Very High",IF(M108&gt;=3,"High",IF(M108&gt;=2,"Medium","Low"))))</x:f>
      </x:c>
      <x:c r="O108" t="str">
        <x:f>IF(A108="","",IF(I108&lt;=2,"Wave 3",IF(M108&gt;=4,"Wave 3",IF(M108&gt;=3,"Wave 2","Wave 1"))))</x:f>
      </x:c>
    </x:row>
    <x:row r="109">
      <x:c r="L109" s="26"/>
      <x:c r="M109" s="26" t="str">
        <x:f>IF(A109="","",ROUND((E109*0.25)+(F109*0.25)+(G109*0.20)+(H109*0.20)+((6-I109)*0.10),2))</x:f>
      </x:c>
      <x:c r="N109" t="str">
        <x:f>IF(A109="","",IF(M109&gt;=4,"Very High",IF(M109&gt;=3,"High",IF(M109&gt;=2,"Medium","Low"))))</x:f>
      </x:c>
      <x:c r="O109" t="str">
        <x:f>IF(A109="","",IF(I109&lt;=2,"Wave 3",IF(M109&gt;=4,"Wave 3",IF(M109&gt;=3,"Wave 2","Wave 1"))))</x:f>
      </x:c>
    </x:row>
    <x:row r="110">
      <x:c r="L110" s="26"/>
      <x:c r="M110" s="26" t="str">
        <x:f>IF(A110="","",ROUND((E110*0.25)+(F110*0.25)+(G110*0.20)+(H110*0.20)+((6-I110)*0.10),2))</x:f>
      </x:c>
      <x:c r="N110" t="str">
        <x:f>IF(A110="","",IF(M110&gt;=4,"Very High",IF(M110&gt;=3,"High",IF(M110&gt;=2,"Medium","Low"))))</x:f>
      </x:c>
      <x:c r="O110" t="str">
        <x:f>IF(A110="","",IF(I110&lt;=2,"Wave 3",IF(M110&gt;=4,"Wave 3",IF(M110&gt;=3,"Wave 2","Wave 1"))))</x:f>
      </x:c>
    </x:row>
    <x:row r="111">
      <x:c r="L111" s="26"/>
      <x:c r="M111" s="26" t="str">
        <x:f>IF(A111="","",ROUND((E111*0.25)+(F111*0.25)+(G111*0.20)+(H111*0.20)+((6-I111)*0.10),2))</x:f>
      </x:c>
      <x:c r="N111" t="str">
        <x:f>IF(A111="","",IF(M111&gt;=4,"Very High",IF(M111&gt;=3,"High",IF(M111&gt;=2,"Medium","Low"))))</x:f>
      </x:c>
      <x:c r="O111" t="str">
        <x:f>IF(A111="","",IF(I111&lt;=2,"Wave 3",IF(M111&gt;=4,"Wave 3",IF(M111&gt;=3,"Wave 2","Wave 1"))))</x:f>
      </x:c>
    </x:row>
    <x:row r="112">
      <x:c r="L112" s="26"/>
      <x:c r="M112" s="26" t="str">
        <x:f>IF(A112="","",ROUND((E112*0.25)+(F112*0.25)+(G112*0.20)+(H112*0.20)+((6-I112)*0.10),2))</x:f>
      </x:c>
      <x:c r="N112" t="str">
        <x:f>IF(A112="","",IF(M112&gt;=4,"Very High",IF(M112&gt;=3,"High",IF(M112&gt;=2,"Medium","Low"))))</x:f>
      </x:c>
      <x:c r="O112" t="str">
        <x:f>IF(A112="","",IF(I112&lt;=2,"Wave 3",IF(M112&gt;=4,"Wave 3",IF(M112&gt;=3,"Wave 2","Wave 1"))))</x:f>
      </x:c>
    </x:row>
    <x:row r="113">
      <x:c r="L113" s="26"/>
      <x:c r="M113" s="26" t="str">
        <x:f>IF(A113="","",ROUND((E113*0.25)+(F113*0.25)+(G113*0.20)+(H113*0.20)+((6-I113)*0.10),2))</x:f>
      </x:c>
      <x:c r="N113" t="str">
        <x:f>IF(A113="","",IF(M113&gt;=4,"Very High",IF(M113&gt;=3,"High",IF(M113&gt;=2,"Medium","Low"))))</x:f>
      </x:c>
      <x:c r="O113" t="str">
        <x:f>IF(A113="","",IF(I113&lt;=2,"Wave 3",IF(M113&gt;=4,"Wave 3",IF(M113&gt;=3,"Wave 2","Wave 1"))))</x:f>
      </x:c>
    </x:row>
    <x:row r="114">
      <x:c r="L114" s="26"/>
      <x:c r="M114" s="26" t="str">
        <x:f>IF(A114="","",ROUND((E114*0.25)+(F114*0.25)+(G114*0.20)+(H114*0.20)+((6-I114)*0.10),2))</x:f>
      </x:c>
      <x:c r="N114" t="str">
        <x:f>IF(A114="","",IF(M114&gt;=4,"Very High",IF(M114&gt;=3,"High",IF(M114&gt;=2,"Medium","Low"))))</x:f>
      </x:c>
      <x:c r="O114" t="str">
        <x:f>IF(A114="","",IF(I114&lt;=2,"Wave 3",IF(M114&gt;=4,"Wave 3",IF(M114&gt;=3,"Wave 2","Wave 1"))))</x:f>
      </x:c>
    </x:row>
    <x:row r="115">
      <x:c r="L115" s="26"/>
      <x:c r="M115" s="26" t="str">
        <x:f>IF(A115="","",ROUND((E115*0.25)+(F115*0.25)+(G115*0.20)+(H115*0.20)+((6-I115)*0.10),2))</x:f>
      </x:c>
      <x:c r="N115" t="str">
        <x:f>IF(A115="","",IF(M115&gt;=4,"Very High",IF(M115&gt;=3,"High",IF(M115&gt;=2,"Medium","Low"))))</x:f>
      </x:c>
      <x:c r="O115" t="str">
        <x:f>IF(A115="","",IF(I115&lt;=2,"Wave 3",IF(M115&gt;=4,"Wave 3",IF(M115&gt;=3,"Wave 2","Wave 1"))))</x:f>
      </x:c>
    </x:row>
    <x:row r="116">
      <x:c r="L116" s="26"/>
      <x:c r="M116" s="26" t="str">
        <x:f>IF(A116="","",ROUND((E116*0.25)+(F116*0.25)+(G116*0.20)+(H116*0.20)+((6-I116)*0.10),2))</x:f>
      </x:c>
      <x:c r="N116" t="str">
        <x:f>IF(A116="","",IF(M116&gt;=4,"Very High",IF(M116&gt;=3,"High",IF(M116&gt;=2,"Medium","Low"))))</x:f>
      </x:c>
      <x:c r="O116" t="str">
        <x:f>IF(A116="","",IF(I116&lt;=2,"Wave 3",IF(M116&gt;=4,"Wave 3",IF(M116&gt;=3,"Wave 2","Wave 1"))))</x:f>
      </x:c>
    </x:row>
    <x:row r="117">
      <x:c r="L117" s="26"/>
      <x:c r="M117" s="26" t="str">
        <x:f>IF(A117="","",ROUND((E117*0.25)+(F117*0.25)+(G117*0.20)+(H117*0.20)+((6-I117)*0.10),2))</x:f>
      </x:c>
      <x:c r="N117" t="str">
        <x:f>IF(A117="","",IF(M117&gt;=4,"Very High",IF(M117&gt;=3,"High",IF(M117&gt;=2,"Medium","Low"))))</x:f>
      </x:c>
      <x:c r="O117" t="str">
        <x:f>IF(A117="","",IF(I117&lt;=2,"Wave 3",IF(M117&gt;=4,"Wave 3",IF(M117&gt;=3,"Wave 2","Wave 1"))))</x:f>
      </x:c>
    </x:row>
    <x:row r="118">
      <x:c r="L118" s="26"/>
      <x:c r="M118" s="26" t="str">
        <x:f>IF(A118="","",ROUND((E118*0.25)+(F118*0.25)+(G118*0.20)+(H118*0.20)+((6-I118)*0.10),2))</x:f>
      </x:c>
      <x:c r="N118" t="str">
        <x:f>IF(A118="","",IF(M118&gt;=4,"Very High",IF(M118&gt;=3,"High",IF(M118&gt;=2,"Medium","Low"))))</x:f>
      </x:c>
      <x:c r="O118" t="str">
        <x:f>IF(A118="","",IF(I118&lt;=2,"Wave 3",IF(M118&gt;=4,"Wave 3",IF(M118&gt;=3,"Wave 2","Wave 1"))))</x:f>
      </x:c>
    </x:row>
    <x:row r="119">
      <x:c r="L119" s="26"/>
      <x:c r="M119" s="26" t="str">
        <x:f>IF(A119="","",ROUND((E119*0.25)+(F119*0.25)+(G119*0.20)+(H119*0.20)+((6-I119)*0.10),2))</x:f>
      </x:c>
      <x:c r="N119" t="str">
        <x:f>IF(A119="","",IF(M119&gt;=4,"Very High",IF(M119&gt;=3,"High",IF(M119&gt;=2,"Medium","Low"))))</x:f>
      </x:c>
      <x:c r="O119" t="str">
        <x:f>IF(A119="","",IF(I119&lt;=2,"Wave 3",IF(M119&gt;=4,"Wave 3",IF(M119&gt;=3,"Wave 2","Wave 1"))))</x:f>
      </x:c>
    </x:row>
    <x:row r="120">
      <x:c r="L120" s="26"/>
      <x:c r="M120" s="26" t="str">
        <x:f>IF(A120="","",ROUND((E120*0.25)+(F120*0.25)+(G120*0.20)+(H120*0.20)+((6-I120)*0.10),2))</x:f>
      </x:c>
      <x:c r="N120" t="str">
        <x:f>IF(A120="","",IF(M120&gt;=4,"Very High",IF(M120&gt;=3,"High",IF(M120&gt;=2,"Medium","Low"))))</x:f>
      </x:c>
      <x:c r="O120" t="str">
        <x:f>IF(A120="","",IF(I120&lt;=2,"Wave 3",IF(M120&gt;=4,"Wave 3",IF(M120&gt;=3,"Wave 2","Wave 1"))))</x:f>
      </x:c>
    </x:row>
    <x:row r="121">
      <x:c r="L121" s="26"/>
      <x:c r="M121" s="26" t="str">
        <x:f>IF(A121="","",ROUND((E121*0.25)+(F121*0.25)+(G121*0.20)+(H121*0.20)+((6-I121)*0.10),2))</x:f>
      </x:c>
      <x:c r="N121" t="str">
        <x:f>IF(A121="","",IF(M121&gt;=4,"Very High",IF(M121&gt;=3,"High",IF(M121&gt;=2,"Medium","Low"))))</x:f>
      </x:c>
      <x:c r="O121" t="str">
        <x:f>IF(A121="","",IF(I121&lt;=2,"Wave 3",IF(M121&gt;=4,"Wave 3",IF(M121&gt;=3,"Wave 2","Wave 1"))))</x:f>
      </x:c>
    </x:row>
    <x:row r="122">
      <x:c r="L122" s="26"/>
      <x:c r="M122" s="26" t="str">
        <x:f>IF(A122="","",ROUND((E122*0.25)+(F122*0.25)+(G122*0.20)+(H122*0.20)+((6-I122)*0.10),2))</x:f>
      </x:c>
      <x:c r="N122" t="str">
        <x:f>IF(A122="","",IF(M122&gt;=4,"Very High",IF(M122&gt;=3,"High",IF(M122&gt;=2,"Medium","Low"))))</x:f>
      </x:c>
      <x:c r="O122" t="str">
        <x:f>IF(A122="","",IF(I122&lt;=2,"Wave 3",IF(M122&gt;=4,"Wave 3",IF(M122&gt;=3,"Wave 2","Wave 1"))))</x:f>
      </x:c>
    </x:row>
    <x:row r="123">
      <x:c r="L123" s="26"/>
      <x:c r="M123" s="26" t="str">
        <x:f>IF(A123="","",ROUND((E123*0.25)+(F123*0.25)+(G123*0.20)+(H123*0.20)+((6-I123)*0.10),2))</x:f>
      </x:c>
      <x:c r="N123" t="str">
        <x:f>IF(A123="","",IF(M123&gt;=4,"Very High",IF(M123&gt;=3,"High",IF(M123&gt;=2,"Medium","Low"))))</x:f>
      </x:c>
      <x:c r="O123" t="str">
        <x:f>IF(A123="","",IF(I123&lt;=2,"Wave 3",IF(M123&gt;=4,"Wave 3",IF(M123&gt;=3,"Wave 2","Wave 1"))))</x:f>
      </x:c>
    </x:row>
    <x:row r="124">
      <x:c r="L124" s="26"/>
      <x:c r="M124" s="26" t="str">
        <x:f>IF(A124="","",ROUND((E124*0.25)+(F124*0.25)+(G124*0.20)+(H124*0.20)+((6-I124)*0.10),2))</x:f>
      </x:c>
      <x:c r="N124" t="str">
        <x:f>IF(A124="","",IF(M124&gt;=4,"Very High",IF(M124&gt;=3,"High",IF(M124&gt;=2,"Medium","Low"))))</x:f>
      </x:c>
      <x:c r="O124" t="str">
        <x:f>IF(A124="","",IF(I124&lt;=2,"Wave 3",IF(M124&gt;=4,"Wave 3",IF(M124&gt;=3,"Wave 2","Wave 1"))))</x:f>
      </x:c>
    </x:row>
    <x:row r="125">
      <x:c r="L125" s="26"/>
      <x:c r="M125" s="26" t="str">
        <x:f>IF(A125="","",ROUND((E125*0.25)+(F125*0.25)+(G125*0.20)+(H125*0.20)+((6-I125)*0.10),2))</x:f>
      </x:c>
      <x:c r="N125" t="str">
        <x:f>IF(A125="","",IF(M125&gt;=4,"Very High",IF(M125&gt;=3,"High",IF(M125&gt;=2,"Medium","Low"))))</x:f>
      </x:c>
      <x:c r="O125" t="str">
        <x:f>IF(A125="","",IF(I125&lt;=2,"Wave 3",IF(M125&gt;=4,"Wave 3",IF(M125&gt;=3,"Wave 2","Wave 1"))))</x:f>
      </x:c>
    </x:row>
    <x:row r="126">
      <x:c r="L126" s="26"/>
      <x:c r="M126" s="26" t="str">
        <x:f>IF(A126="","",ROUND((E126*0.25)+(F126*0.25)+(G126*0.20)+(H126*0.20)+((6-I126)*0.10),2))</x:f>
      </x:c>
      <x:c r="N126" t="str">
        <x:f>IF(A126="","",IF(M126&gt;=4,"Very High",IF(M126&gt;=3,"High",IF(M126&gt;=2,"Medium","Low"))))</x:f>
      </x:c>
      <x:c r="O126" t="str">
        <x:f>IF(A126="","",IF(I126&lt;=2,"Wave 3",IF(M126&gt;=4,"Wave 3",IF(M126&gt;=3,"Wave 2","Wave 1"))))</x:f>
      </x:c>
    </x:row>
    <x:row r="127">
      <x:c r="L127" s="26"/>
      <x:c r="M127" s="26" t="str">
        <x:f>IF(A127="","",ROUND((E127*0.25)+(F127*0.25)+(G127*0.20)+(H127*0.20)+((6-I127)*0.10),2))</x:f>
      </x:c>
      <x:c r="N127" t="str">
        <x:f>IF(A127="","",IF(M127&gt;=4,"Very High",IF(M127&gt;=3,"High",IF(M127&gt;=2,"Medium","Low"))))</x:f>
      </x:c>
      <x:c r="O127" t="str">
        <x:f>IF(A127="","",IF(I127&lt;=2,"Wave 3",IF(M127&gt;=4,"Wave 3",IF(M127&gt;=3,"Wave 2","Wave 1"))))</x:f>
      </x:c>
    </x:row>
    <x:row r="128">
      <x:c r="L128" s="26"/>
      <x:c r="M128" s="26" t="str">
        <x:f>IF(A128="","",ROUND((E128*0.25)+(F128*0.25)+(G128*0.20)+(H128*0.20)+((6-I128)*0.10),2))</x:f>
      </x:c>
      <x:c r="N128" t="str">
        <x:f>IF(A128="","",IF(M128&gt;=4,"Very High",IF(M128&gt;=3,"High",IF(M128&gt;=2,"Medium","Low"))))</x:f>
      </x:c>
      <x:c r="O128" t="str">
        <x:f>IF(A128="","",IF(I128&lt;=2,"Wave 3",IF(M128&gt;=4,"Wave 3",IF(M128&gt;=3,"Wave 2","Wave 1"))))</x:f>
      </x:c>
    </x:row>
    <x:row r="129">
      <x:c r="L129" s="26"/>
      <x:c r="M129" s="26" t="str">
        <x:f>IF(A129="","",ROUND((E129*0.25)+(F129*0.25)+(G129*0.20)+(H129*0.20)+((6-I129)*0.10),2))</x:f>
      </x:c>
      <x:c r="N129" t="str">
        <x:f>IF(A129="","",IF(M129&gt;=4,"Very High",IF(M129&gt;=3,"High",IF(M129&gt;=2,"Medium","Low"))))</x:f>
      </x:c>
      <x:c r="O129" t="str">
        <x:f>IF(A129="","",IF(I129&lt;=2,"Wave 3",IF(M129&gt;=4,"Wave 3",IF(M129&gt;=3,"Wave 2","Wave 1"))))</x:f>
      </x:c>
    </x:row>
    <x:row r="130">
      <x:c r="L130" s="26"/>
      <x:c r="M130" s="26" t="str">
        <x:f>IF(A130="","",ROUND((E130*0.25)+(F130*0.25)+(G130*0.20)+(H130*0.20)+((6-I130)*0.10),2))</x:f>
      </x:c>
      <x:c r="N130" t="str">
        <x:f>IF(A130="","",IF(M130&gt;=4,"Very High",IF(M130&gt;=3,"High",IF(M130&gt;=2,"Medium","Low"))))</x:f>
      </x:c>
      <x:c r="O130" t="str">
        <x:f>IF(A130="","",IF(I130&lt;=2,"Wave 3",IF(M130&gt;=4,"Wave 3",IF(M130&gt;=3,"Wave 2","Wave 1"))))</x:f>
      </x:c>
    </x:row>
    <x:row r="131">
      <x:c r="L131" s="26"/>
      <x:c r="M131" s="26" t="str">
        <x:f>IF(A131="","",ROUND((E131*0.25)+(F131*0.25)+(G131*0.20)+(H131*0.20)+((6-I131)*0.10),2))</x:f>
      </x:c>
      <x:c r="N131" t="str">
        <x:f>IF(A131="","",IF(M131&gt;=4,"Very High",IF(M131&gt;=3,"High",IF(M131&gt;=2,"Medium","Low"))))</x:f>
      </x:c>
      <x:c r="O131" t="str">
        <x:f>IF(A131="","",IF(I131&lt;=2,"Wave 3",IF(M131&gt;=4,"Wave 3",IF(M131&gt;=3,"Wave 2","Wave 1"))))</x:f>
      </x:c>
    </x:row>
    <x:row r="132">
      <x:c r="L132" s="26"/>
      <x:c r="M132" s="26" t="str">
        <x:f>IF(A132="","",ROUND((E132*0.25)+(F132*0.25)+(G132*0.20)+(H132*0.20)+((6-I132)*0.10),2))</x:f>
      </x:c>
      <x:c r="N132" t="str">
        <x:f>IF(A132="","",IF(M132&gt;=4,"Very High",IF(M132&gt;=3,"High",IF(M132&gt;=2,"Medium","Low"))))</x:f>
      </x:c>
      <x:c r="O132" t="str">
        <x:f>IF(A132="","",IF(I132&lt;=2,"Wave 3",IF(M132&gt;=4,"Wave 3",IF(M132&gt;=3,"Wave 2","Wave 1"))))</x:f>
      </x:c>
    </x:row>
    <x:row r="133">
      <x:c r="L133" s="26"/>
      <x:c r="M133" s="26" t="str">
        <x:f>IF(A133="","",ROUND((E133*0.25)+(F133*0.25)+(G133*0.20)+(H133*0.20)+((6-I133)*0.10),2))</x:f>
      </x:c>
      <x:c r="N133" t="str">
        <x:f>IF(A133="","",IF(M133&gt;=4,"Very High",IF(M133&gt;=3,"High",IF(M133&gt;=2,"Medium","Low"))))</x:f>
      </x:c>
      <x:c r="O133" t="str">
        <x:f>IF(A133="","",IF(I133&lt;=2,"Wave 3",IF(M133&gt;=4,"Wave 3",IF(M133&gt;=3,"Wave 2","Wave 1"))))</x:f>
      </x:c>
    </x:row>
    <x:row r="134">
      <x:c r="L134" s="26"/>
      <x:c r="M134" s="26" t="str">
        <x:f>IF(A134="","",ROUND((E134*0.25)+(F134*0.25)+(G134*0.20)+(H134*0.20)+((6-I134)*0.10),2))</x:f>
      </x:c>
      <x:c r="N134" t="str">
        <x:f>IF(A134="","",IF(M134&gt;=4,"Very High",IF(M134&gt;=3,"High",IF(M134&gt;=2,"Medium","Low"))))</x:f>
      </x:c>
      <x:c r="O134" t="str">
        <x:f>IF(A134="","",IF(I134&lt;=2,"Wave 3",IF(M134&gt;=4,"Wave 3",IF(M134&gt;=3,"Wave 2","Wave 1"))))</x:f>
      </x:c>
    </x:row>
    <x:row r="135">
      <x:c r="L135" s="26"/>
      <x:c r="M135" s="26" t="str">
        <x:f>IF(A135="","",ROUND((E135*0.25)+(F135*0.25)+(G135*0.20)+(H135*0.20)+((6-I135)*0.10),2))</x:f>
      </x:c>
      <x:c r="N135" t="str">
        <x:f>IF(A135="","",IF(M135&gt;=4,"Very High",IF(M135&gt;=3,"High",IF(M135&gt;=2,"Medium","Low"))))</x:f>
      </x:c>
      <x:c r="O135" t="str">
        <x:f>IF(A135="","",IF(I135&lt;=2,"Wave 3",IF(M135&gt;=4,"Wave 3",IF(M135&gt;=3,"Wave 2","Wave 1"))))</x:f>
      </x:c>
    </x:row>
    <x:row r="136">
      <x:c r="L136" s="26"/>
      <x:c r="M136" s="26" t="str">
        <x:f>IF(A136="","",ROUND((E136*0.25)+(F136*0.25)+(G136*0.20)+(H136*0.20)+((6-I136)*0.10),2))</x:f>
      </x:c>
      <x:c r="N136" t="str">
        <x:f>IF(A136="","",IF(M136&gt;=4,"Very High",IF(M136&gt;=3,"High",IF(M136&gt;=2,"Medium","Low"))))</x:f>
      </x:c>
      <x:c r="O136" t="str">
        <x:f>IF(A136="","",IF(I136&lt;=2,"Wave 3",IF(M136&gt;=4,"Wave 3",IF(M136&gt;=3,"Wave 2","Wave 1"))))</x:f>
      </x:c>
    </x:row>
    <x:row r="137">
      <x:c r="L137" s="26"/>
      <x:c r="M137" s="26" t="str">
        <x:f>IF(A137="","",ROUND((E137*0.25)+(F137*0.25)+(G137*0.20)+(H137*0.20)+((6-I137)*0.10),2))</x:f>
      </x:c>
      <x:c r="N137" t="str">
        <x:f>IF(A137="","",IF(M137&gt;=4,"Very High",IF(M137&gt;=3,"High",IF(M137&gt;=2,"Medium","Low"))))</x:f>
      </x:c>
      <x:c r="O137" t="str">
        <x:f>IF(A137="","",IF(I137&lt;=2,"Wave 3",IF(M137&gt;=4,"Wave 3",IF(M137&gt;=3,"Wave 2","Wave 1"))))</x:f>
      </x:c>
    </x:row>
    <x:row r="138">
      <x:c r="L138" s="26"/>
      <x:c r="M138" s="26" t="str">
        <x:f>IF(A138="","",ROUND((E138*0.25)+(F138*0.25)+(G138*0.20)+(H138*0.20)+((6-I138)*0.10),2))</x:f>
      </x:c>
      <x:c r="N138" t="str">
        <x:f>IF(A138="","",IF(M138&gt;=4,"Very High",IF(M138&gt;=3,"High",IF(M138&gt;=2,"Medium","Low"))))</x:f>
      </x:c>
      <x:c r="O138" t="str">
        <x:f>IF(A138="","",IF(I138&lt;=2,"Wave 3",IF(M138&gt;=4,"Wave 3",IF(M138&gt;=3,"Wave 2","Wave 1"))))</x:f>
      </x:c>
    </x:row>
    <x:row r="139">
      <x:c r="L139" s="26"/>
      <x:c r="M139" s="26" t="str">
        <x:f>IF(A139="","",ROUND((E139*0.25)+(F139*0.25)+(G139*0.20)+(H139*0.20)+((6-I139)*0.10),2))</x:f>
      </x:c>
      <x:c r="N139" t="str">
        <x:f>IF(A139="","",IF(M139&gt;=4,"Very High",IF(M139&gt;=3,"High",IF(M139&gt;=2,"Medium","Low"))))</x:f>
      </x:c>
      <x:c r="O139" t="str">
        <x:f>IF(A139="","",IF(I139&lt;=2,"Wave 3",IF(M139&gt;=4,"Wave 3",IF(M139&gt;=3,"Wave 2","Wave 1"))))</x:f>
      </x:c>
    </x:row>
    <x:row r="140">
      <x:c r="L140" s="26"/>
      <x:c r="M140" s="26" t="str">
        <x:f>IF(A140="","",ROUND((E140*0.25)+(F140*0.25)+(G140*0.20)+(H140*0.20)+((6-I140)*0.10),2))</x:f>
      </x:c>
      <x:c r="N140" t="str">
        <x:f>IF(A140="","",IF(M140&gt;=4,"Very High",IF(M140&gt;=3,"High",IF(M140&gt;=2,"Medium","Low"))))</x:f>
      </x:c>
      <x:c r="O140" t="str">
        <x:f>IF(A140="","",IF(I140&lt;=2,"Wave 3",IF(M140&gt;=4,"Wave 3",IF(M140&gt;=3,"Wave 2","Wave 1"))))</x:f>
      </x:c>
    </x:row>
    <x:row r="141">
      <x:c r="L141" s="26"/>
      <x:c r="M141" s="26" t="str">
        <x:f>IF(A141="","",ROUND((E141*0.25)+(F141*0.25)+(G141*0.20)+(H141*0.20)+((6-I141)*0.10),2))</x:f>
      </x:c>
      <x:c r="N141" t="str">
        <x:f>IF(A141="","",IF(M141&gt;=4,"Very High",IF(M141&gt;=3,"High",IF(M141&gt;=2,"Medium","Low"))))</x:f>
      </x:c>
      <x:c r="O141" t="str">
        <x:f>IF(A141="","",IF(I141&lt;=2,"Wave 3",IF(M141&gt;=4,"Wave 3",IF(M141&gt;=3,"Wave 2","Wave 1"))))</x:f>
      </x:c>
    </x:row>
    <x:row r="142">
      <x:c r="L142" s="26"/>
      <x:c r="M142" s="26" t="str">
        <x:f>IF(A142="","",ROUND((E142*0.25)+(F142*0.25)+(G142*0.20)+(H142*0.20)+((6-I142)*0.10),2))</x:f>
      </x:c>
      <x:c r="N142" t="str">
        <x:f>IF(A142="","",IF(M142&gt;=4,"Very High",IF(M142&gt;=3,"High",IF(M142&gt;=2,"Medium","Low"))))</x:f>
      </x:c>
      <x:c r="O142" t="str">
        <x:f>IF(A142="","",IF(I142&lt;=2,"Wave 3",IF(M142&gt;=4,"Wave 3",IF(M142&gt;=3,"Wave 2","Wave 1"))))</x:f>
      </x:c>
    </x:row>
    <x:row r="143">
      <x:c r="L143" s="26"/>
      <x:c r="M143" s="26" t="str">
        <x:f>IF(A143="","",ROUND((E143*0.25)+(F143*0.25)+(G143*0.20)+(H143*0.20)+((6-I143)*0.10),2))</x:f>
      </x:c>
      <x:c r="N143" t="str">
        <x:f>IF(A143="","",IF(M143&gt;=4,"Very High",IF(M143&gt;=3,"High",IF(M143&gt;=2,"Medium","Low"))))</x:f>
      </x:c>
      <x:c r="O143" t="str">
        <x:f>IF(A143="","",IF(I143&lt;=2,"Wave 3",IF(M143&gt;=4,"Wave 3",IF(M143&gt;=3,"Wave 2","Wave 1"))))</x:f>
      </x:c>
    </x:row>
    <x:row r="144">
      <x:c r="L144" s="26"/>
      <x:c r="M144" s="26" t="str">
        <x:f>IF(A144="","",ROUND((E144*0.25)+(F144*0.25)+(G144*0.20)+(H144*0.20)+((6-I144)*0.10),2))</x:f>
      </x:c>
      <x:c r="N144" t="str">
        <x:f>IF(A144="","",IF(M144&gt;=4,"Very High",IF(M144&gt;=3,"High",IF(M144&gt;=2,"Medium","Low"))))</x:f>
      </x:c>
      <x:c r="O144" t="str">
        <x:f>IF(A144="","",IF(I144&lt;=2,"Wave 3",IF(M144&gt;=4,"Wave 3",IF(M144&gt;=3,"Wave 2","Wave 1"))))</x:f>
      </x:c>
    </x:row>
    <x:row r="145">
      <x:c r="L145" s="26"/>
      <x:c r="M145" s="26" t="str">
        <x:f>IF(A145="","",ROUND((E145*0.25)+(F145*0.25)+(G145*0.20)+(H145*0.20)+((6-I145)*0.10),2))</x:f>
      </x:c>
      <x:c r="N145" t="str">
        <x:f>IF(A145="","",IF(M145&gt;=4,"Very High",IF(M145&gt;=3,"High",IF(M145&gt;=2,"Medium","Low"))))</x:f>
      </x:c>
      <x:c r="O145" t="str">
        <x:f>IF(A145="","",IF(I145&lt;=2,"Wave 3",IF(M145&gt;=4,"Wave 3",IF(M145&gt;=3,"Wave 2","Wave 1"))))</x:f>
      </x:c>
    </x:row>
    <x:row r="146">
      <x:c r="L146" s="26"/>
      <x:c r="M146" s="26" t="str">
        <x:f>IF(A146="","",ROUND((E146*0.25)+(F146*0.25)+(G146*0.20)+(H146*0.20)+((6-I146)*0.10),2))</x:f>
      </x:c>
      <x:c r="N146" t="str">
        <x:f>IF(A146="","",IF(M146&gt;=4,"Very High",IF(M146&gt;=3,"High",IF(M146&gt;=2,"Medium","Low"))))</x:f>
      </x:c>
      <x:c r="O146" t="str">
        <x:f>IF(A146="","",IF(I146&lt;=2,"Wave 3",IF(M146&gt;=4,"Wave 3",IF(M146&gt;=3,"Wave 2","Wave 1"))))</x:f>
      </x:c>
    </x:row>
    <x:row r="147">
      <x:c r="L147" s="26"/>
      <x:c r="M147" s="26" t="str">
        <x:f>IF(A147="","",ROUND((E147*0.25)+(F147*0.25)+(G147*0.20)+(H147*0.20)+((6-I147)*0.10),2))</x:f>
      </x:c>
      <x:c r="N147" t="str">
        <x:f>IF(A147="","",IF(M147&gt;=4,"Very High",IF(M147&gt;=3,"High",IF(M147&gt;=2,"Medium","Low"))))</x:f>
      </x:c>
      <x:c r="O147" t="str">
        <x:f>IF(A147="","",IF(I147&lt;=2,"Wave 3",IF(M147&gt;=4,"Wave 3",IF(M147&gt;=3,"Wave 2","Wave 1"))))</x:f>
      </x:c>
    </x:row>
    <x:row r="148">
      <x:c r="L148" s="26"/>
      <x:c r="M148" s="26" t="str">
        <x:f>IF(A148="","",ROUND((E148*0.25)+(F148*0.25)+(G148*0.20)+(H148*0.20)+((6-I148)*0.10),2))</x:f>
      </x:c>
      <x:c r="N148" t="str">
        <x:f>IF(A148="","",IF(M148&gt;=4,"Very High",IF(M148&gt;=3,"High",IF(M148&gt;=2,"Medium","Low"))))</x:f>
      </x:c>
      <x:c r="O148" t="str">
        <x:f>IF(A148="","",IF(I148&lt;=2,"Wave 3",IF(M148&gt;=4,"Wave 3",IF(M148&gt;=3,"Wave 2","Wave 1"))))</x:f>
      </x:c>
    </x:row>
    <x:row r="149">
      <x:c r="L149" s="26"/>
      <x:c r="M149" s="26" t="str">
        <x:f>IF(A149="","",ROUND((E149*0.25)+(F149*0.25)+(G149*0.20)+(H149*0.20)+((6-I149)*0.10),2))</x:f>
      </x:c>
      <x:c r="N149" t="str">
        <x:f>IF(A149="","",IF(M149&gt;=4,"Very High",IF(M149&gt;=3,"High",IF(M149&gt;=2,"Medium","Low"))))</x:f>
      </x:c>
      <x:c r="O149" t="str">
        <x:f>IF(A149="","",IF(I149&lt;=2,"Wave 3",IF(M149&gt;=4,"Wave 3",IF(M149&gt;=3,"Wave 2","Wave 1"))))</x:f>
      </x:c>
    </x:row>
    <x:row r="150">
      <x:c r="L150" s="26"/>
      <x:c r="M150" s="26" t="str">
        <x:f>IF(A150="","",ROUND((E150*0.25)+(F150*0.25)+(G150*0.20)+(H150*0.20)+((6-I150)*0.10),2))</x:f>
      </x:c>
      <x:c r="N150" t="str">
        <x:f>IF(A150="","",IF(M150&gt;=4,"Very High",IF(M150&gt;=3,"High",IF(M150&gt;=2,"Medium","Low"))))</x:f>
      </x:c>
      <x:c r="O150" t="str">
        <x:f>IF(A150="","",IF(I150&lt;=2,"Wave 3",IF(M150&gt;=4,"Wave 3",IF(M150&gt;=3,"Wave 2","Wave 1"))))</x:f>
      </x:c>
    </x:row>
    <x:row r="151">
      <x:c r="L151" s="26"/>
      <x:c r="M151" s="26" t="str">
        <x:f>IF(A151="","",ROUND((E151*0.25)+(F151*0.25)+(G151*0.20)+(H151*0.20)+((6-I151)*0.10),2))</x:f>
      </x:c>
      <x:c r="N151" t="str">
        <x:f>IF(A151="","",IF(M151&gt;=4,"Very High",IF(M151&gt;=3,"High",IF(M151&gt;=2,"Medium","Low"))))</x:f>
      </x:c>
      <x:c r="O151" t="str">
        <x:f>IF(A151="","",IF(I151&lt;=2,"Wave 3",IF(M151&gt;=4,"Wave 3",IF(M151&gt;=3,"Wave 2","Wave 1"))))</x:f>
      </x:c>
    </x:row>
    <x:row r="152">
      <x:c r="L152" s="26"/>
      <x:c r="M152" s="26" t="str">
        <x:f>IF(A152="","",ROUND((E152*0.25)+(F152*0.25)+(G152*0.20)+(H152*0.20)+((6-I152)*0.10),2))</x:f>
      </x:c>
      <x:c r="N152" t="str">
        <x:f>IF(A152="","",IF(M152&gt;=4,"Very High",IF(M152&gt;=3,"High",IF(M152&gt;=2,"Medium","Low"))))</x:f>
      </x:c>
      <x:c r="O152" t="str">
        <x:f>IF(A152="","",IF(I152&lt;=2,"Wave 3",IF(M152&gt;=4,"Wave 3",IF(M152&gt;=3,"Wave 2","Wave 1"))))</x:f>
      </x:c>
    </x:row>
    <x:row r="153">
      <x:c r="L153" s="26"/>
      <x:c r="M153" s="26" t="str">
        <x:f>IF(A153="","",ROUND((E153*0.25)+(F153*0.25)+(G153*0.20)+(H153*0.20)+((6-I153)*0.10),2))</x:f>
      </x:c>
      <x:c r="N153" t="str">
        <x:f>IF(A153="","",IF(M153&gt;=4,"Very High",IF(M153&gt;=3,"High",IF(M153&gt;=2,"Medium","Low"))))</x:f>
      </x:c>
      <x:c r="O153" t="str">
        <x:f>IF(A153="","",IF(I153&lt;=2,"Wave 3",IF(M153&gt;=4,"Wave 3",IF(M153&gt;=3,"Wave 2","Wave 1"))))</x:f>
      </x:c>
    </x:row>
    <x:row r="154">
      <x:c r="L154" s="26"/>
      <x:c r="M154" s="26" t="str">
        <x:f>IF(A154="","",ROUND((E154*0.25)+(F154*0.25)+(G154*0.20)+(H154*0.20)+((6-I154)*0.10),2))</x:f>
      </x:c>
      <x:c r="N154" t="str">
        <x:f>IF(A154="","",IF(M154&gt;=4,"Very High",IF(M154&gt;=3,"High",IF(M154&gt;=2,"Medium","Low"))))</x:f>
      </x:c>
      <x:c r="O154" t="str">
        <x:f>IF(A154="","",IF(I154&lt;=2,"Wave 3",IF(M154&gt;=4,"Wave 3",IF(M154&gt;=3,"Wave 2","Wave 1"))))</x:f>
      </x:c>
    </x:row>
    <x:row r="155">
      <x:c r="L155" s="26"/>
      <x:c r="M155" s="26" t="str">
        <x:f>IF(A155="","",ROUND((E155*0.25)+(F155*0.25)+(G155*0.20)+(H155*0.20)+((6-I155)*0.10),2))</x:f>
      </x:c>
      <x:c r="N155" t="str">
        <x:f>IF(A155="","",IF(M155&gt;=4,"Very High",IF(M155&gt;=3,"High",IF(M155&gt;=2,"Medium","Low"))))</x:f>
      </x:c>
      <x:c r="O155" t="str">
        <x:f>IF(A155="","",IF(I155&lt;=2,"Wave 3",IF(M155&gt;=4,"Wave 3",IF(M155&gt;=3,"Wave 2","Wave 1"))))</x:f>
      </x:c>
    </x:row>
    <x:row r="156">
      <x:c r="L156" s="26"/>
      <x:c r="M156" s="26" t="str">
        <x:f>IF(A156="","",ROUND((E156*0.25)+(F156*0.25)+(G156*0.20)+(H156*0.20)+((6-I156)*0.10),2))</x:f>
      </x:c>
      <x:c r="N156" t="str">
        <x:f>IF(A156="","",IF(M156&gt;=4,"Very High",IF(M156&gt;=3,"High",IF(M156&gt;=2,"Medium","Low"))))</x:f>
      </x:c>
      <x:c r="O156" t="str">
        <x:f>IF(A156="","",IF(I156&lt;=2,"Wave 3",IF(M156&gt;=4,"Wave 3",IF(M156&gt;=3,"Wave 2","Wave 1"))))</x:f>
      </x:c>
    </x:row>
    <x:row r="157">
      <x:c r="L157" s="26"/>
      <x:c r="M157" s="26" t="str">
        <x:f>IF(A157="","",ROUND((E157*0.25)+(F157*0.25)+(G157*0.20)+(H157*0.20)+((6-I157)*0.10),2))</x:f>
      </x:c>
      <x:c r="N157" t="str">
        <x:f>IF(A157="","",IF(M157&gt;=4,"Very High",IF(M157&gt;=3,"High",IF(M157&gt;=2,"Medium","Low"))))</x:f>
      </x:c>
      <x:c r="O157" t="str">
        <x:f>IF(A157="","",IF(I157&lt;=2,"Wave 3",IF(M157&gt;=4,"Wave 3",IF(M157&gt;=3,"Wave 2","Wave 1"))))</x:f>
      </x:c>
    </x:row>
    <x:row r="158">
      <x:c r="L158" s="26"/>
      <x:c r="M158" s="26" t="str">
        <x:f>IF(A158="","",ROUND((E158*0.25)+(F158*0.25)+(G158*0.20)+(H158*0.20)+((6-I158)*0.10),2))</x:f>
      </x:c>
      <x:c r="N158" t="str">
        <x:f>IF(A158="","",IF(M158&gt;=4,"Very High",IF(M158&gt;=3,"High",IF(M158&gt;=2,"Medium","Low"))))</x:f>
      </x:c>
      <x:c r="O158" t="str">
        <x:f>IF(A158="","",IF(I158&lt;=2,"Wave 3",IF(M158&gt;=4,"Wave 3",IF(M158&gt;=3,"Wave 2","Wave 1"))))</x:f>
      </x:c>
    </x:row>
    <x:row r="159">
      <x:c r="L159" s="26"/>
      <x:c r="M159" s="26" t="str">
        <x:f>IF(A159="","",ROUND((E159*0.25)+(F159*0.25)+(G159*0.20)+(H159*0.20)+((6-I159)*0.10),2))</x:f>
      </x:c>
      <x:c r="N159" t="str">
        <x:f>IF(A159="","",IF(M159&gt;=4,"Very High",IF(M159&gt;=3,"High",IF(M159&gt;=2,"Medium","Low"))))</x:f>
      </x:c>
      <x:c r="O159" t="str">
        <x:f>IF(A159="","",IF(I159&lt;=2,"Wave 3",IF(M159&gt;=4,"Wave 3",IF(M159&gt;=3,"Wave 2","Wave 1"))))</x:f>
      </x:c>
    </x:row>
    <x:row r="160">
      <x:c r="L160" s="26"/>
      <x:c r="M160" s="26" t="str">
        <x:f>IF(A160="","",ROUND((E160*0.25)+(F160*0.25)+(G160*0.20)+(H160*0.20)+((6-I160)*0.10),2))</x:f>
      </x:c>
      <x:c r="N160" t="str">
        <x:f>IF(A160="","",IF(M160&gt;=4,"Very High",IF(M160&gt;=3,"High",IF(M160&gt;=2,"Medium","Low"))))</x:f>
      </x:c>
      <x:c r="O160" t="str">
        <x:f>IF(A160="","",IF(I160&lt;=2,"Wave 3",IF(M160&gt;=4,"Wave 3",IF(M160&gt;=3,"Wave 2","Wave 1"))))</x:f>
      </x:c>
    </x:row>
    <x:row r="161">
      <x:c r="L161" s="26"/>
      <x:c r="M161" s="26" t="str">
        <x:f>IF(A161="","",ROUND((E161*0.25)+(F161*0.25)+(G161*0.20)+(H161*0.20)+((6-I161)*0.10),2))</x:f>
      </x:c>
      <x:c r="N161" t="str">
        <x:f>IF(A161="","",IF(M161&gt;=4,"Very High",IF(M161&gt;=3,"High",IF(M161&gt;=2,"Medium","Low"))))</x:f>
      </x:c>
      <x:c r="O161" t="str">
        <x:f>IF(A161="","",IF(I161&lt;=2,"Wave 3",IF(M161&gt;=4,"Wave 3",IF(M161&gt;=3,"Wave 2","Wave 1"))))</x:f>
      </x:c>
    </x:row>
    <x:row r="162">
      <x:c r="L162" s="26"/>
      <x:c r="M162" s="26" t="str">
        <x:f>IF(A162="","",ROUND((E162*0.25)+(F162*0.25)+(G162*0.20)+(H162*0.20)+((6-I162)*0.10),2))</x:f>
      </x:c>
      <x:c r="N162" t="str">
        <x:f>IF(A162="","",IF(M162&gt;=4,"Very High",IF(M162&gt;=3,"High",IF(M162&gt;=2,"Medium","Low"))))</x:f>
      </x:c>
      <x:c r="O162" t="str">
        <x:f>IF(A162="","",IF(I162&lt;=2,"Wave 3",IF(M162&gt;=4,"Wave 3",IF(M162&gt;=3,"Wave 2","Wave 1"))))</x:f>
      </x:c>
    </x:row>
    <x:row r="163">
      <x:c r="L163" s="26"/>
      <x:c r="M163" s="26" t="str">
        <x:f>IF(A163="","",ROUND((E163*0.25)+(F163*0.25)+(G163*0.20)+(H163*0.20)+((6-I163)*0.10),2))</x:f>
      </x:c>
      <x:c r="N163" t="str">
        <x:f>IF(A163="","",IF(M163&gt;=4,"Very High",IF(M163&gt;=3,"High",IF(M163&gt;=2,"Medium","Low"))))</x:f>
      </x:c>
      <x:c r="O163" t="str">
        <x:f>IF(A163="","",IF(I163&lt;=2,"Wave 3",IF(M163&gt;=4,"Wave 3",IF(M163&gt;=3,"Wave 2","Wave 1"))))</x:f>
      </x:c>
    </x:row>
    <x:row r="164">
      <x:c r="L164" s="26"/>
      <x:c r="M164" s="26" t="str">
        <x:f>IF(A164="","",ROUND((E164*0.25)+(F164*0.25)+(G164*0.20)+(H164*0.20)+((6-I164)*0.10),2))</x:f>
      </x:c>
      <x:c r="N164" t="str">
        <x:f>IF(A164="","",IF(M164&gt;=4,"Very High",IF(M164&gt;=3,"High",IF(M164&gt;=2,"Medium","Low"))))</x:f>
      </x:c>
      <x:c r="O164" t="str">
        <x:f>IF(A164="","",IF(I164&lt;=2,"Wave 3",IF(M164&gt;=4,"Wave 3",IF(M164&gt;=3,"Wave 2","Wave 1"))))</x:f>
      </x:c>
    </x:row>
    <x:row r="165">
      <x:c r="L165" s="26"/>
      <x:c r="M165" s="26" t="str">
        <x:f>IF(A165="","",ROUND((E165*0.25)+(F165*0.25)+(G165*0.20)+(H165*0.20)+((6-I165)*0.10),2))</x:f>
      </x:c>
      <x:c r="N165" t="str">
        <x:f>IF(A165="","",IF(M165&gt;=4,"Very High",IF(M165&gt;=3,"High",IF(M165&gt;=2,"Medium","Low"))))</x:f>
      </x:c>
      <x:c r="O165" t="str">
        <x:f>IF(A165="","",IF(I165&lt;=2,"Wave 3",IF(M165&gt;=4,"Wave 3",IF(M165&gt;=3,"Wave 2","Wave 1"))))</x:f>
      </x:c>
    </x:row>
    <x:row r="166">
      <x:c r="L166" s="26"/>
      <x:c r="M166" s="26" t="str">
        <x:f>IF(A166="","",ROUND((E166*0.25)+(F166*0.25)+(G166*0.20)+(H166*0.20)+((6-I166)*0.10),2))</x:f>
      </x:c>
      <x:c r="N166" t="str">
        <x:f>IF(A166="","",IF(M166&gt;=4,"Very High",IF(M166&gt;=3,"High",IF(M166&gt;=2,"Medium","Low"))))</x:f>
      </x:c>
      <x:c r="O166" t="str">
        <x:f>IF(A166="","",IF(I166&lt;=2,"Wave 3",IF(M166&gt;=4,"Wave 3",IF(M166&gt;=3,"Wave 2","Wave 1"))))</x:f>
      </x:c>
    </x:row>
    <x:row r="167">
      <x:c r="L167" s="26"/>
      <x:c r="M167" s="26" t="str">
        <x:f>IF(A167="","",ROUND((E167*0.25)+(F167*0.25)+(G167*0.20)+(H167*0.20)+((6-I167)*0.10),2))</x:f>
      </x:c>
      <x:c r="N167" t="str">
        <x:f>IF(A167="","",IF(M167&gt;=4,"Very High",IF(M167&gt;=3,"High",IF(M167&gt;=2,"Medium","Low"))))</x:f>
      </x:c>
      <x:c r="O167" t="str">
        <x:f>IF(A167="","",IF(I167&lt;=2,"Wave 3",IF(M167&gt;=4,"Wave 3",IF(M167&gt;=3,"Wave 2","Wave 1"))))</x:f>
      </x:c>
    </x:row>
    <x:row r="168">
      <x:c r="L168" s="26"/>
      <x:c r="M168" s="26" t="str">
        <x:f>IF(A168="","",ROUND((E168*0.25)+(F168*0.25)+(G168*0.20)+(H168*0.20)+((6-I168)*0.10),2))</x:f>
      </x:c>
      <x:c r="N168" t="str">
        <x:f>IF(A168="","",IF(M168&gt;=4,"Very High",IF(M168&gt;=3,"High",IF(M168&gt;=2,"Medium","Low"))))</x:f>
      </x:c>
      <x:c r="O168" t="str">
        <x:f>IF(A168="","",IF(I168&lt;=2,"Wave 3",IF(M168&gt;=4,"Wave 3",IF(M168&gt;=3,"Wave 2","Wave 1"))))</x:f>
      </x:c>
    </x:row>
    <x:row r="169">
      <x:c r="L169" s="26"/>
      <x:c r="M169" s="26" t="str">
        <x:f>IF(A169="","",ROUND((E169*0.25)+(F169*0.25)+(G169*0.20)+(H169*0.20)+((6-I169)*0.10),2))</x:f>
      </x:c>
      <x:c r="N169" t="str">
        <x:f>IF(A169="","",IF(M169&gt;=4,"Very High",IF(M169&gt;=3,"High",IF(M169&gt;=2,"Medium","Low"))))</x:f>
      </x:c>
      <x:c r="O169" t="str">
        <x:f>IF(A169="","",IF(I169&lt;=2,"Wave 3",IF(M169&gt;=4,"Wave 3",IF(M169&gt;=3,"Wave 2","Wave 1"))))</x:f>
      </x:c>
    </x:row>
    <x:row r="170">
      <x:c r="L170" s="26"/>
      <x:c r="M170" s="26" t="str">
        <x:f>IF(A170="","",ROUND((E170*0.25)+(F170*0.25)+(G170*0.20)+(H170*0.20)+((6-I170)*0.10),2))</x:f>
      </x:c>
      <x:c r="N170" t="str">
        <x:f>IF(A170="","",IF(M170&gt;=4,"Very High",IF(M170&gt;=3,"High",IF(M170&gt;=2,"Medium","Low"))))</x:f>
      </x:c>
      <x:c r="O170" t="str">
        <x:f>IF(A170="","",IF(I170&lt;=2,"Wave 3",IF(M170&gt;=4,"Wave 3",IF(M170&gt;=3,"Wave 2","Wave 1"))))</x:f>
      </x:c>
    </x:row>
    <x:row r="171">
      <x:c r="L171" s="26"/>
      <x:c r="M171" s="26" t="str">
        <x:f>IF(A171="","",ROUND((E171*0.25)+(F171*0.25)+(G171*0.20)+(H171*0.20)+((6-I171)*0.10),2))</x:f>
      </x:c>
      <x:c r="N171" t="str">
        <x:f>IF(A171="","",IF(M171&gt;=4,"Very High",IF(M171&gt;=3,"High",IF(M171&gt;=2,"Medium","Low"))))</x:f>
      </x:c>
      <x:c r="O171" t="str">
        <x:f>IF(A171="","",IF(I171&lt;=2,"Wave 3",IF(M171&gt;=4,"Wave 3",IF(M171&gt;=3,"Wave 2","Wave 1"))))</x:f>
      </x:c>
    </x:row>
    <x:row r="172">
      <x:c r="L172" s="26"/>
      <x:c r="M172" s="26" t="str">
        <x:f>IF(A172="","",ROUND((E172*0.25)+(F172*0.25)+(G172*0.20)+(H172*0.20)+((6-I172)*0.10),2))</x:f>
      </x:c>
      <x:c r="N172" t="str">
        <x:f>IF(A172="","",IF(M172&gt;=4,"Very High",IF(M172&gt;=3,"High",IF(M172&gt;=2,"Medium","Low"))))</x:f>
      </x:c>
      <x:c r="O172" t="str">
        <x:f>IF(A172="","",IF(I172&lt;=2,"Wave 3",IF(M172&gt;=4,"Wave 3",IF(M172&gt;=3,"Wave 2","Wave 1"))))</x:f>
      </x:c>
    </x:row>
    <x:row r="173">
      <x:c r="L173" s="26"/>
      <x:c r="M173" s="26" t="str">
        <x:f>IF(A173="","",ROUND((E173*0.25)+(F173*0.25)+(G173*0.20)+(H173*0.20)+((6-I173)*0.10),2))</x:f>
      </x:c>
      <x:c r="N173" t="str">
        <x:f>IF(A173="","",IF(M173&gt;=4,"Very High",IF(M173&gt;=3,"High",IF(M173&gt;=2,"Medium","Low"))))</x:f>
      </x:c>
      <x:c r="O173" t="str">
        <x:f>IF(A173="","",IF(I173&lt;=2,"Wave 3",IF(M173&gt;=4,"Wave 3",IF(M173&gt;=3,"Wave 2","Wave 1"))))</x:f>
      </x:c>
    </x:row>
    <x:row r="174">
      <x:c r="L174" s="26"/>
      <x:c r="M174" s="26" t="str">
        <x:f>IF(A174="","",ROUND((E174*0.25)+(F174*0.25)+(G174*0.20)+(H174*0.20)+((6-I174)*0.10),2))</x:f>
      </x:c>
      <x:c r="N174" t="str">
        <x:f>IF(A174="","",IF(M174&gt;=4,"Very High",IF(M174&gt;=3,"High",IF(M174&gt;=2,"Medium","Low"))))</x:f>
      </x:c>
      <x:c r="O174" t="str">
        <x:f>IF(A174="","",IF(I174&lt;=2,"Wave 3",IF(M174&gt;=4,"Wave 3",IF(M174&gt;=3,"Wave 2","Wave 1"))))</x:f>
      </x:c>
    </x:row>
    <x:row r="175">
      <x:c r="L175" s="26"/>
      <x:c r="M175" s="26" t="str">
        <x:f>IF(A175="","",ROUND((E175*0.25)+(F175*0.25)+(G175*0.20)+(H175*0.20)+((6-I175)*0.10),2))</x:f>
      </x:c>
      <x:c r="N175" t="str">
        <x:f>IF(A175="","",IF(M175&gt;=4,"Very High",IF(M175&gt;=3,"High",IF(M175&gt;=2,"Medium","Low"))))</x:f>
      </x:c>
      <x:c r="O175" t="str">
        <x:f>IF(A175="","",IF(I175&lt;=2,"Wave 3",IF(M175&gt;=4,"Wave 3",IF(M175&gt;=3,"Wave 2","Wave 1"))))</x:f>
      </x:c>
    </x:row>
    <x:row r="176">
      <x:c r="L176" s="26"/>
      <x:c r="M176" s="26" t="str">
        <x:f>IF(A176="","",ROUND((E176*0.25)+(F176*0.25)+(G176*0.20)+(H176*0.20)+((6-I176)*0.10),2))</x:f>
      </x:c>
      <x:c r="N176" t="str">
        <x:f>IF(A176="","",IF(M176&gt;=4,"Very High",IF(M176&gt;=3,"High",IF(M176&gt;=2,"Medium","Low"))))</x:f>
      </x:c>
      <x:c r="O176" t="str">
        <x:f>IF(A176="","",IF(I176&lt;=2,"Wave 3",IF(M176&gt;=4,"Wave 3",IF(M176&gt;=3,"Wave 2","Wave 1"))))</x:f>
      </x:c>
    </x:row>
    <x:row r="177">
      <x:c r="L177" s="26"/>
      <x:c r="M177" s="26" t="str">
        <x:f>IF(A177="","",ROUND((E177*0.25)+(F177*0.25)+(G177*0.20)+(H177*0.20)+((6-I177)*0.10),2))</x:f>
      </x:c>
      <x:c r="N177" t="str">
        <x:f>IF(A177="","",IF(M177&gt;=4,"Very High",IF(M177&gt;=3,"High",IF(M177&gt;=2,"Medium","Low"))))</x:f>
      </x:c>
      <x:c r="O177" t="str">
        <x:f>IF(A177="","",IF(I177&lt;=2,"Wave 3",IF(M177&gt;=4,"Wave 3",IF(M177&gt;=3,"Wave 2","Wave 1"))))</x:f>
      </x:c>
    </x:row>
    <x:row r="178">
      <x:c r="L178" s="26"/>
      <x:c r="M178" s="26" t="str">
        <x:f>IF(A178="","",ROUND((E178*0.25)+(F178*0.25)+(G178*0.20)+(H178*0.20)+((6-I178)*0.10),2))</x:f>
      </x:c>
      <x:c r="N178" t="str">
        <x:f>IF(A178="","",IF(M178&gt;=4,"Very High",IF(M178&gt;=3,"High",IF(M178&gt;=2,"Medium","Low"))))</x:f>
      </x:c>
      <x:c r="O178" t="str">
        <x:f>IF(A178="","",IF(I178&lt;=2,"Wave 3",IF(M178&gt;=4,"Wave 3",IF(M178&gt;=3,"Wave 2","Wave 1"))))</x:f>
      </x:c>
    </x:row>
    <x:row r="179">
      <x:c r="L179" s="26"/>
      <x:c r="M179" s="26" t="str">
        <x:f>IF(A179="","",ROUND((E179*0.25)+(F179*0.25)+(G179*0.20)+(H179*0.20)+((6-I179)*0.10),2))</x:f>
      </x:c>
      <x:c r="N179" t="str">
        <x:f>IF(A179="","",IF(M179&gt;=4,"Very High",IF(M179&gt;=3,"High",IF(M179&gt;=2,"Medium","Low"))))</x:f>
      </x:c>
      <x:c r="O179" t="str">
        <x:f>IF(A179="","",IF(I179&lt;=2,"Wave 3",IF(M179&gt;=4,"Wave 3",IF(M179&gt;=3,"Wave 2","Wave 1"))))</x:f>
      </x:c>
    </x:row>
    <x:row r="180">
      <x:c r="L180" s="26"/>
      <x:c r="M180" s="26" t="str">
        <x:f>IF(A180="","",ROUND((E180*0.25)+(F180*0.25)+(G180*0.20)+(H180*0.20)+((6-I180)*0.10),2))</x:f>
      </x:c>
      <x:c r="N180" t="str">
        <x:f>IF(A180="","",IF(M180&gt;=4,"Very High",IF(M180&gt;=3,"High",IF(M180&gt;=2,"Medium","Low"))))</x:f>
      </x:c>
      <x:c r="O180" t="str">
        <x:f>IF(A180="","",IF(I180&lt;=2,"Wave 3",IF(M180&gt;=4,"Wave 3",IF(M180&gt;=3,"Wave 2","Wave 1"))))</x:f>
      </x:c>
    </x:row>
    <x:row r="181">
      <x:c r="L181" s="26"/>
      <x:c r="M181" s="26" t="str">
        <x:f>IF(A181="","",ROUND((E181*0.25)+(F181*0.25)+(G181*0.20)+(H181*0.20)+((6-I181)*0.10),2))</x:f>
      </x:c>
      <x:c r="N181" t="str">
        <x:f>IF(A181="","",IF(M181&gt;=4,"Very High",IF(M181&gt;=3,"High",IF(M181&gt;=2,"Medium","Low"))))</x:f>
      </x:c>
      <x:c r="O181" t="str">
        <x:f>IF(A181="","",IF(I181&lt;=2,"Wave 3",IF(M181&gt;=4,"Wave 3",IF(M181&gt;=3,"Wave 2","Wave 1"))))</x:f>
      </x:c>
    </x:row>
    <x:row r="182">
      <x:c r="L182" s="26"/>
      <x:c r="M182" s="26" t="str">
        <x:f>IF(A182="","",ROUND((E182*0.25)+(F182*0.25)+(G182*0.20)+(H182*0.20)+((6-I182)*0.10),2))</x:f>
      </x:c>
      <x:c r="N182" t="str">
        <x:f>IF(A182="","",IF(M182&gt;=4,"Very High",IF(M182&gt;=3,"High",IF(M182&gt;=2,"Medium","Low"))))</x:f>
      </x:c>
      <x:c r="O182" t="str">
        <x:f>IF(A182="","",IF(I182&lt;=2,"Wave 3",IF(M182&gt;=4,"Wave 3",IF(M182&gt;=3,"Wave 2","Wave 1"))))</x:f>
      </x:c>
    </x:row>
    <x:row r="183">
      <x:c r="L183" s="26"/>
      <x:c r="M183" s="26" t="str">
        <x:f>IF(A183="","",ROUND((E183*0.25)+(F183*0.25)+(G183*0.20)+(H183*0.20)+((6-I183)*0.10),2))</x:f>
      </x:c>
      <x:c r="N183" t="str">
        <x:f>IF(A183="","",IF(M183&gt;=4,"Very High",IF(M183&gt;=3,"High",IF(M183&gt;=2,"Medium","Low"))))</x:f>
      </x:c>
      <x:c r="O183" t="str">
        <x:f>IF(A183="","",IF(I183&lt;=2,"Wave 3",IF(M183&gt;=4,"Wave 3",IF(M183&gt;=3,"Wave 2","Wave 1"))))</x:f>
      </x:c>
    </x:row>
    <x:row r="184">
      <x:c r="L184" s="26"/>
      <x:c r="M184" s="26" t="str">
        <x:f>IF(A184="","",ROUND((E184*0.25)+(F184*0.25)+(G184*0.20)+(H184*0.20)+((6-I184)*0.10),2))</x:f>
      </x:c>
      <x:c r="N184" t="str">
        <x:f>IF(A184="","",IF(M184&gt;=4,"Very High",IF(M184&gt;=3,"High",IF(M184&gt;=2,"Medium","Low"))))</x:f>
      </x:c>
      <x:c r="O184" t="str">
        <x:f>IF(A184="","",IF(I184&lt;=2,"Wave 3",IF(M184&gt;=4,"Wave 3",IF(M184&gt;=3,"Wave 2","Wave 1"))))</x:f>
      </x:c>
    </x:row>
    <x:row r="185">
      <x:c r="L185" s="26"/>
      <x:c r="M185" s="26" t="str">
        <x:f>IF(A185="","",ROUND((E185*0.25)+(F185*0.25)+(G185*0.20)+(H185*0.20)+((6-I185)*0.10),2))</x:f>
      </x:c>
      <x:c r="N185" t="str">
        <x:f>IF(A185="","",IF(M185&gt;=4,"Very High",IF(M185&gt;=3,"High",IF(M185&gt;=2,"Medium","Low"))))</x:f>
      </x:c>
      <x:c r="O185" t="str">
        <x:f>IF(A185="","",IF(I185&lt;=2,"Wave 3",IF(M185&gt;=4,"Wave 3",IF(M185&gt;=3,"Wave 2","Wave 1"))))</x:f>
      </x:c>
    </x:row>
    <x:row r="186">
      <x:c r="L186" s="26"/>
      <x:c r="M186" s="26" t="str">
        <x:f>IF(A186="","",ROUND((E186*0.25)+(F186*0.25)+(G186*0.20)+(H186*0.20)+((6-I186)*0.10),2))</x:f>
      </x:c>
      <x:c r="N186" t="str">
        <x:f>IF(A186="","",IF(M186&gt;=4,"Very High",IF(M186&gt;=3,"High",IF(M186&gt;=2,"Medium","Low"))))</x:f>
      </x:c>
      <x:c r="O186" t="str">
        <x:f>IF(A186="","",IF(I186&lt;=2,"Wave 3",IF(M186&gt;=4,"Wave 3",IF(M186&gt;=3,"Wave 2","Wave 1"))))</x:f>
      </x:c>
    </x:row>
    <x:row r="187">
      <x:c r="L187" s="26"/>
      <x:c r="M187" s="26" t="str">
        <x:f>IF(A187="","",ROUND((E187*0.25)+(F187*0.25)+(G187*0.20)+(H187*0.20)+((6-I187)*0.10),2))</x:f>
      </x:c>
      <x:c r="N187" t="str">
        <x:f>IF(A187="","",IF(M187&gt;=4,"Very High",IF(M187&gt;=3,"High",IF(M187&gt;=2,"Medium","Low"))))</x:f>
      </x:c>
      <x:c r="O187" t="str">
        <x:f>IF(A187="","",IF(I187&lt;=2,"Wave 3",IF(M187&gt;=4,"Wave 3",IF(M187&gt;=3,"Wave 2","Wave 1"))))</x:f>
      </x:c>
    </x:row>
    <x:row r="188">
      <x:c r="L188" s="26"/>
      <x:c r="M188" s="26" t="str">
        <x:f>IF(A188="","",ROUND((E188*0.25)+(F188*0.25)+(G188*0.20)+(H188*0.20)+((6-I188)*0.10),2))</x:f>
      </x:c>
      <x:c r="N188" t="str">
        <x:f>IF(A188="","",IF(M188&gt;=4,"Very High",IF(M188&gt;=3,"High",IF(M188&gt;=2,"Medium","Low"))))</x:f>
      </x:c>
      <x:c r="O188" t="str">
        <x:f>IF(A188="","",IF(I188&lt;=2,"Wave 3",IF(M188&gt;=4,"Wave 3",IF(M188&gt;=3,"Wave 2","Wave 1"))))</x:f>
      </x:c>
    </x:row>
    <x:row r="189">
      <x:c r="L189" s="26"/>
      <x:c r="M189" s="26" t="str">
        <x:f>IF(A189="","",ROUND((E189*0.25)+(F189*0.25)+(G189*0.20)+(H189*0.20)+((6-I189)*0.10),2))</x:f>
      </x:c>
      <x:c r="N189" t="str">
        <x:f>IF(A189="","",IF(M189&gt;=4,"Very High",IF(M189&gt;=3,"High",IF(M189&gt;=2,"Medium","Low"))))</x:f>
      </x:c>
      <x:c r="O189" t="str">
        <x:f>IF(A189="","",IF(I189&lt;=2,"Wave 3",IF(M189&gt;=4,"Wave 3",IF(M189&gt;=3,"Wave 2","Wave 1"))))</x:f>
      </x:c>
    </x:row>
    <x:row r="190">
      <x:c r="L190" s="26"/>
      <x:c r="M190" s="26" t="str">
        <x:f>IF(A190="","",ROUND((E190*0.25)+(F190*0.25)+(G190*0.20)+(H190*0.20)+((6-I190)*0.10),2))</x:f>
      </x:c>
      <x:c r="N190" t="str">
        <x:f>IF(A190="","",IF(M190&gt;=4,"Very High",IF(M190&gt;=3,"High",IF(M190&gt;=2,"Medium","Low"))))</x:f>
      </x:c>
      <x:c r="O190" t="str">
        <x:f>IF(A190="","",IF(I190&lt;=2,"Wave 3",IF(M190&gt;=4,"Wave 3",IF(M190&gt;=3,"Wave 2","Wave 1"))))</x:f>
      </x:c>
    </x:row>
    <x:row r="191">
      <x:c r="L191" s="26"/>
      <x:c r="M191" s="26" t="str">
        <x:f>IF(A191="","",ROUND((E191*0.25)+(F191*0.25)+(G191*0.20)+(H191*0.20)+((6-I191)*0.10),2))</x:f>
      </x:c>
      <x:c r="N191" t="str">
        <x:f>IF(A191="","",IF(M191&gt;=4,"Very High",IF(M191&gt;=3,"High",IF(M191&gt;=2,"Medium","Low"))))</x:f>
      </x:c>
      <x:c r="O191" t="str">
        <x:f>IF(A191="","",IF(I191&lt;=2,"Wave 3",IF(M191&gt;=4,"Wave 3",IF(M191&gt;=3,"Wave 2","Wave 1"))))</x:f>
      </x:c>
    </x:row>
    <x:row r="192">
      <x:c r="L192" s="26"/>
      <x:c r="M192" s="26" t="str">
        <x:f>IF(A192="","",ROUND((E192*0.25)+(F192*0.25)+(G192*0.20)+(H192*0.20)+((6-I192)*0.10),2))</x:f>
      </x:c>
      <x:c r="N192" t="str">
        <x:f>IF(A192="","",IF(M192&gt;=4,"Very High",IF(M192&gt;=3,"High",IF(M192&gt;=2,"Medium","Low"))))</x:f>
      </x:c>
      <x:c r="O192" t="str">
        <x:f>IF(A192="","",IF(I192&lt;=2,"Wave 3",IF(M192&gt;=4,"Wave 3",IF(M192&gt;=3,"Wave 2","Wave 1"))))</x:f>
      </x:c>
    </x:row>
    <x:row r="193">
      <x:c r="L193" s="26"/>
      <x:c r="M193" s="26" t="str">
        <x:f>IF(A193="","",ROUND((E193*0.25)+(F193*0.25)+(G193*0.20)+(H193*0.20)+((6-I193)*0.10),2))</x:f>
      </x:c>
      <x:c r="N193" t="str">
        <x:f>IF(A193="","",IF(M193&gt;=4,"Very High",IF(M193&gt;=3,"High",IF(M193&gt;=2,"Medium","Low"))))</x:f>
      </x:c>
      <x:c r="O193" t="str">
        <x:f>IF(A193="","",IF(I193&lt;=2,"Wave 3",IF(M193&gt;=4,"Wave 3",IF(M193&gt;=3,"Wave 2","Wave 1"))))</x:f>
      </x:c>
    </x:row>
    <x:row r="194">
      <x:c r="L194" s="26"/>
      <x:c r="M194" s="26" t="str">
        <x:f>IF(A194="","",ROUND((E194*0.25)+(F194*0.25)+(G194*0.20)+(H194*0.20)+((6-I194)*0.10),2))</x:f>
      </x:c>
      <x:c r="N194" t="str">
        <x:f>IF(A194="","",IF(M194&gt;=4,"Very High",IF(M194&gt;=3,"High",IF(M194&gt;=2,"Medium","Low"))))</x:f>
      </x:c>
      <x:c r="O194" t="str">
        <x:f>IF(A194="","",IF(I194&lt;=2,"Wave 3",IF(M194&gt;=4,"Wave 3",IF(M194&gt;=3,"Wave 2","Wave 1"))))</x:f>
      </x:c>
    </x:row>
    <x:row r="195">
      <x:c r="L195" s="26"/>
      <x:c r="M195" s="26" t="str">
        <x:f>IF(A195="","",ROUND((E195*0.25)+(F195*0.25)+(G195*0.20)+(H195*0.20)+((6-I195)*0.10),2))</x:f>
      </x:c>
      <x:c r="N195" t="str">
        <x:f>IF(A195="","",IF(M195&gt;=4,"Very High",IF(M195&gt;=3,"High",IF(M195&gt;=2,"Medium","Low"))))</x:f>
      </x:c>
      <x:c r="O195" t="str">
        <x:f>IF(A195="","",IF(I195&lt;=2,"Wave 3",IF(M195&gt;=4,"Wave 3",IF(M195&gt;=3,"Wave 2","Wave 1"))))</x:f>
      </x:c>
    </x:row>
    <x:row r="196">
      <x:c r="L196" s="26"/>
      <x:c r="M196" s="26" t="str">
        <x:f>IF(A196="","",ROUND((E196*0.25)+(F196*0.25)+(G196*0.20)+(H196*0.20)+((6-I196)*0.10),2))</x:f>
      </x:c>
      <x:c r="N196" t="str">
        <x:f>IF(A196="","",IF(M196&gt;=4,"Very High",IF(M196&gt;=3,"High",IF(M196&gt;=2,"Medium","Low"))))</x:f>
      </x:c>
      <x:c r="O196" t="str">
        <x:f>IF(A196="","",IF(I196&lt;=2,"Wave 3",IF(M196&gt;=4,"Wave 3",IF(M196&gt;=3,"Wave 2","Wave 1"))))</x:f>
      </x:c>
    </x:row>
    <x:row r="197">
      <x:c r="L197" s="26"/>
      <x:c r="M197" s="26" t="str">
        <x:f>IF(A197="","",ROUND((E197*0.25)+(F197*0.25)+(G197*0.20)+(H197*0.20)+((6-I197)*0.10),2))</x:f>
      </x:c>
      <x:c r="N197" t="str">
        <x:f>IF(A197="","",IF(M197&gt;=4,"Very High",IF(M197&gt;=3,"High",IF(M197&gt;=2,"Medium","Low"))))</x:f>
      </x:c>
      <x:c r="O197" t="str">
        <x:f>IF(A197="","",IF(I197&lt;=2,"Wave 3",IF(M197&gt;=4,"Wave 3",IF(M197&gt;=3,"Wave 2","Wave 1"))))</x:f>
      </x:c>
    </x:row>
    <x:row r="198">
      <x:c r="L198" s="26"/>
      <x:c r="M198" s="26" t="str">
        <x:f>IF(A198="","",ROUND((E198*0.25)+(F198*0.25)+(G198*0.20)+(H198*0.20)+((6-I198)*0.10),2))</x:f>
      </x:c>
      <x:c r="N198" t="str">
        <x:f>IF(A198="","",IF(M198&gt;=4,"Very High",IF(M198&gt;=3,"High",IF(M198&gt;=2,"Medium","Low"))))</x:f>
      </x:c>
      <x:c r="O198" t="str">
        <x:f>IF(A198="","",IF(I198&lt;=2,"Wave 3",IF(M198&gt;=4,"Wave 3",IF(M198&gt;=3,"Wave 2","Wave 1"))))</x:f>
      </x:c>
    </x:row>
    <x:row r="199">
      <x:c r="L199" s="26"/>
      <x:c r="M199" s="26" t="str">
        <x:f>IF(A199="","",ROUND((E199*0.25)+(F199*0.25)+(G199*0.20)+(H199*0.20)+((6-I199)*0.10),2))</x:f>
      </x:c>
      <x:c r="N199" t="str">
        <x:f>IF(A199="","",IF(M199&gt;=4,"Very High",IF(M199&gt;=3,"High",IF(M199&gt;=2,"Medium","Low"))))</x:f>
      </x:c>
      <x:c r="O199" t="str">
        <x:f>IF(A199="","",IF(I199&lt;=2,"Wave 3",IF(M199&gt;=4,"Wave 3",IF(M199&gt;=3,"Wave 2","Wave 1"))))</x:f>
      </x:c>
    </x:row>
    <x:row r="200">
      <x:c r="L200" s="26"/>
      <x:c r="M200" s="26" t="str">
        <x:f>IF(A200="","",ROUND((E200*0.25)+(F200*0.25)+(G200*0.20)+(H200*0.20)+((6-I200)*0.10),2))</x:f>
      </x:c>
      <x:c r="N200" t="str">
        <x:f>IF(A200="","",IF(M200&gt;=4,"Very High",IF(M200&gt;=3,"High",IF(M200&gt;=2,"Medium","Low"))))</x:f>
      </x:c>
      <x:c r="O200" t="str">
        <x:f>IF(A200="","",IF(I200&lt;=2,"Wave 3",IF(M200&gt;=4,"Wave 3",IF(M200&gt;=3,"Wave 2","Wave 1"))))</x:f>
      </x:c>
    </x:row>
    <x:row r="201">
      <x:c r="L201" s="26"/>
      <x:c r="M201" s="26" t="str">
        <x:f>IF(A201="","",ROUND((E201*0.25)+(F201*0.25)+(G201*0.20)+(H201*0.20)+((6-I201)*0.10),2))</x:f>
      </x:c>
      <x:c r="N201" t="str">
        <x:f>IF(A201="","",IF(M201&gt;=4,"Very High",IF(M201&gt;=3,"High",IF(M201&gt;=2,"Medium","Low"))))</x:f>
      </x:c>
      <x:c r="O201" t="str">
        <x:f>IF(A201="","",IF(I201&lt;=2,"Wave 3",IF(M201&gt;=4,"Wave 3",IF(M201&gt;=3,"Wave 2","Wave 1"))))</x:f>
      </x:c>
    </x:row>
  </x:sheetData>
  <x:conditionalFormatting sqref="M2:M201">
    <x:cfRule type="colorScale" priority="1">
      <x:colorScale>
        <x:cfvo type="min"/>
        <x:cfvo type="percentile" val="50"/>
        <x:cfvo type="max"/>
        <x:color rgb="FFDCFCE7"/>
        <x:color rgb="FFFEF3C7"/>
        <x:color rgb="FFFCA5A5"/>
      </x:colorScale>
    </x:cfRule>
  </x:conditionalFormatting>
  <x:conditionalFormatting sqref="N2:N201">
    <x:cfRule type="expression" dxfId="0" priority="2">
      <x:formula>N2="Very High"</x:formula>
    </x:cfRule>
  </x:conditionalFormatting>
  <x:conditionalFormatting sqref="Q2:Q201">
    <x:cfRule type="expression" dxfId="1" priority="3">
      <x:formula>Q2="Blocked"</x:formula>
    </x:cfRule>
  </x:conditionalFormatting>
  <x:dataValidations count="10">
    <x:dataValidation type="list" sqref="D2:D201">
      <x:formula1>'Reference Lists'!$A$2:$A$10</x:formula1>
    </x:dataValidation>
    <x:dataValidation type="list" sqref="E2:E201">
      <x:formula1>'Reference Lists'!$B$2:$B$6</x:formula1>
    </x:dataValidation>
    <x:dataValidation type="list" sqref="F2:F201">
      <x:formula1>'Reference Lists'!$B$2:$B$6</x:formula1>
    </x:dataValidation>
    <x:dataValidation type="list" sqref="G2:G201">
      <x:formula1>'Reference Lists'!$B$2:$B$6</x:formula1>
    </x:dataValidation>
    <x:dataValidation type="list" sqref="H2:H201">
      <x:formula1>'Reference Lists'!$B$2:$B$6</x:formula1>
    </x:dataValidation>
    <x:dataValidation type="list" sqref="I2:I201">
      <x:formula1>'Reference Lists'!$B$2:$B$6</x:formula1>
    </x:dataValidation>
    <x:dataValidation type="list" sqref="J2:J201">
      <x:formula1>'Reference Lists'!$C$2:$C$5</x:formula1>
    </x:dataValidation>
    <x:dataValidation type="list" sqref="K2:K201">
      <x:formula1>'Reference Lists'!$D$2:$D$4</x:formula1>
    </x:dataValidation>
    <x:dataValidation type="list" sqref="P2:P201">
      <x:formula1>'Reference Lists'!$F$2:$F$8</x:formula1>
    </x:dataValidation>
    <x:dataValidation type="list" sqref="Q2:Q201">
      <x:formula1>'Reference Lists'!$E$2:$E$7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ff9de11a5546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14" hidden="0" customWidth="1"/>
    <x:col min="8" max="8" width="12" hidden="0" customWidth="1"/>
    <x:col min="9" max="9" width="18" hidden="0" customWidth="1"/>
    <x:col min="10" max="10" width="14" hidden="0" customWidth="1"/>
    <x:col min="11" max="11" width="34" hidden="0" customWidth="1"/>
    <x:col min="12" max="12" width="34" hidden="0" customWidth="1"/>
    <x:col min="13" max="13" width="36" hidden="0" customWidth="1"/>
  </x:cols>
  <x:sheetData>
    <x:row r="1">
      <x:c r="A1" s="21" t="str">
        <x:v>Wave</x:v>
      </x:c>
      <x:c r="B1" s="21" t="str">
        <x:v>Wave Name</x:v>
      </x:c>
      <x:c r="C1" s="21" t="str">
        <x:v>Target Start</x:v>
      </x:c>
      <x:c r="D1" s="21" t="str">
        <x:v>Target End</x:v>
      </x:c>
      <x:c r="E1" s="21" t="str">
        <x:v>Objective</x:v>
      </x:c>
      <x:c r="F1" s="21" t="str">
        <x:v>Candidate Count</x:v>
      </x:c>
      <x:c r="G1" s="21" t="str">
        <x:v>Effort Days</x:v>
      </x:c>
      <x:c r="H1" s="21" t="str">
        <x:v>Avg Score</x:v>
      </x:c>
      <x:c r="I1" s="21" t="str">
        <x:v>High/Very High Count</x:v>
      </x:c>
      <x:c r="J1" s="21" t="str">
        <x:v>Status</x:v>
      </x:c>
      <x:c r="K1" s="21" t="str">
        <x:v>Entry Criteria</x:v>
      </x:c>
      <x:c r="L1" s="21" t="str">
        <x:v>Exit Criteria</x:v>
      </x:c>
      <x:c r="M1" s="21" t="str">
        <x:v>Key Risks / Notes</x:v>
      </x:c>
    </x:row>
    <x:row r="2">
      <x:c r="A2" t="str">
        <x:v>Wave 0</x:v>
      </x:c>
      <x:c r="B2" t="str">
        <x:v>Reference Implementation / Pilot</x:v>
      </x:c>
      <x:c r="C2" s="28" t="n">
        <x:v>46204</x:v>
      </x:c>
      <x:c r="D2" s="28" t="n">
        <x:v>46234</x:v>
      </x:c>
      <x:c r="E2" t="str">
        <x:v>Validate patterns and delivery approach.</x:v>
      </x:c>
      <x:c r="F2" s="26" t="n">
        <x:f>COUNTIF(Candidates!$P$2:$P$201,A2)</x:f>
        <x:v>0</x:v>
      </x:c>
      <x:c r="G2" s="26" t="n">
        <x:f>SUMIF(Candidates!$P$2:$P$201,A2,Candidates!$L$2:$L$201)</x:f>
        <x:v>0</x:v>
      </x:c>
      <x:c r="H2" s="26" t="n">
        <x:f>IFERROR(AVERAGEIF(Candidates!$P$2:$P$201,A2,Candidates!$M$2:$M$201),0)</x:f>
        <x:v>0</x:v>
      </x:c>
      <x:c r="I2" s="26" t="n">
        <x:f>COUNTIFS(Candidates!$P$2:$P$201,A2,Candidates!$N$2:$N$201,"High")+COUNTIFS(Candidates!$P$2:$P$201,A2,Candidates!$N$2:$N$201,"Very High")</x:f>
        <x:v>0</x:v>
      </x:c>
      <x:c r="J2" t="str">
        <x:v>Planned</x:v>
      </x:c>
      <x:c r="K2" t="str">
        <x:v>Pilot scope approved; environment ready.</x:v>
      </x:c>
      <x:c r="L2" t="str">
        <x:v>Pattern validated; validation approach confirmed.</x:v>
      </x:c>
      <x:c r="M2" t="str"/>
    </x:row>
    <x:row r="3">
      <x:c r="A3" t="str">
        <x:v>Wave 1</x:v>
      </x:c>
      <x:c r="B3" t="str">
        <x:v>Early Value Wave</x:v>
      </x:c>
      <x:c r="C3" s="28" t="n">
        <x:v>46235</x:v>
      </x:c>
      <x:c r="D3" s="28" t="n">
        <x:v>46279</x:v>
      </x:c>
      <x:c r="E3" t="str">
        <x:v>Migrate lower complexity, high-value candidates.</x:v>
      </x:c>
      <x:c r="F3" s="26" t="n">
        <x:f>COUNTIF(Candidates!$P$2:$P$201,A3)</x:f>
        <x:v>3</x:v>
      </x:c>
      <x:c r="G3" s="26" t="n">
        <x:f>SUMIF(Candidates!$P$2:$P$201,A3,Candidates!$L$2:$L$201)</x:f>
        <x:v>42</x:v>
      </x:c>
      <x:c r="H3" s="26" t="n">
        <x:f>IFERROR(AVERAGEIF(Candidates!$P$2:$P$201,A3,Candidates!$M$2:$M$201),0)</x:f>
        <x:v>2.6833333333333336</x:v>
      </x:c>
      <x:c r="I3" s="26" t="n">
        <x:f>COUNTIFS(Candidates!$P$2:$P$201,A3,Candidates!$N$2:$N$201,"High")+COUNTIFS(Candidates!$P$2:$P$201,A3,Candidates!$N$2:$N$201,"Very High")</x:f>
        <x:v>1</x:v>
      </x:c>
      <x:c r="J3" t="str">
        <x:v>Planned</x:v>
      </x:c>
      <x:c r="K3" t="str">
        <x:v>Candidates ready; dependencies manageable.</x:v>
      </x:c>
      <x:c r="L3" t="str">
        <x:v>Wave candidates validated and accepted.</x:v>
      </x:c>
      <x:c r="M3" t="str"/>
    </x:row>
    <x:row r="4">
      <x:c r="A4" t="str">
        <x:v>Wave 2</x:v>
      </x:c>
      <x:c r="B4" t="str">
        <x:v>Foundation Expansion Wave</x:v>
      </x:c>
      <x:c r="C4" s="28" t="n">
        <x:v>46280</x:v>
      </x:c>
      <x:c r="D4" s="28" t="n">
        <x:v>46339</x:v>
      </x:c>
      <x:c r="E4" t="str">
        <x:v>Expand to medium/high complexity workloads.</x:v>
      </x:c>
      <x:c r="F4" s="26" t="n">
        <x:f>COUNTIF(Candidates!$P$2:$P$201,A4)</x:f>
        <x:v>1</x:v>
      </x:c>
      <x:c r="G4" s="26" t="n">
        <x:f>SUMIF(Candidates!$P$2:$P$201,A4,Candidates!$L$2:$L$201)</x:f>
        <x:v>32</x:v>
      </x:c>
      <x:c r="H4" s="26" t="n">
        <x:f>IFERROR(AVERAGEIF(Candidates!$P$2:$P$201,A4,Candidates!$M$2:$M$201),0)</x:f>
        <x:v>3.9</x:v>
      </x:c>
      <x:c r="I4" s="26" t="n">
        <x:f>COUNTIFS(Candidates!$P$2:$P$201,A4,Candidates!$N$2:$N$201,"High")+COUNTIFS(Candidates!$P$2:$P$201,A4,Candidates!$N$2:$N$201,"Very High")</x:f>
        <x:v>1</x:v>
      </x:c>
      <x:c r="J4" t="str">
        <x:v>Planned</x:v>
      </x:c>
      <x:c r="K4" t="str">
        <x:v>Patterns stable; capacity confirmed.</x:v>
      </x:c>
      <x:c r="L4" t="str">
        <x:v>Execution metrics within tolerance.</x:v>
      </x:c>
      <x:c r="M4" t="str"/>
    </x:row>
    <x:row r="5">
      <x:c r="A5" t="str">
        <x:v>Wave 3</x:v>
      </x:c>
      <x:c r="B5" t="str">
        <x:v>Complex Workload Wave</x:v>
      </x:c>
      <x:c r="C5" s="28" t="n">
        <x:v>46340</x:v>
      </x:c>
      <x:c r="D5" s="28" t="n">
        <x:v>46424</x:v>
      </x:c>
      <x:c r="E5" t="str">
        <x:v>Migrate high-complexity, high-dependency workloads.</x:v>
      </x:c>
      <x:c r="F5" s="26" t="n">
        <x:f>COUNTIF(Candidates!$P$2:$P$201,A5)</x:f>
        <x:v>1</x:v>
      </x:c>
      <x:c r="G5" s="26" t="n">
        <x:f>SUMIF(Candidates!$P$2:$P$201,A5,Candidates!$L$2:$L$201)</x:f>
        <x:v>45</x:v>
      </x:c>
      <x:c r="H5" s="26" t="n">
        <x:f>IFERROR(AVERAGEIF(Candidates!$P$2:$P$201,A5,Candidates!$M$2:$M$201),0)</x:f>
        <x:v>4.9</x:v>
      </x:c>
      <x:c r="I5" s="26" t="n">
        <x:f>COUNTIFS(Candidates!$P$2:$P$201,A5,Candidates!$N$2:$N$201,"High")+COUNTIFS(Candidates!$P$2:$P$201,A5,Candidates!$N$2:$N$201,"Very High")</x:f>
        <x:v>1</x:v>
      </x:c>
      <x:c r="J5" t="str">
        <x:v>Planned</x:v>
      </x:c>
      <x:c r="K5" t="str">
        <x:v>Coexistence and validation plan approved.</x:v>
      </x:c>
      <x:c r="L5" t="str">
        <x:v>Readiness gates passed.</x:v>
      </x:c>
      <x:c r="M5" t="str"/>
    </x:row>
    <x:row r="6">
      <x:c r="A6" t="str">
        <x:v>Wave 4</x:v>
      </x:c>
      <x:c r="B6" t="str">
        <x:v>Optimization / Remaining Scope</x:v>
      </x:c>
      <x:c r="C6" s="28" t="n">
        <x:v>46425</x:v>
      </x:c>
      <x:c r="D6" s="28" t="n">
        <x:v>46494</x:v>
      </x:c>
      <x:c r="E6" t="str">
        <x:v>Complete remaining workload migration and optimization.</x:v>
      </x:c>
      <x:c r="F6" s="26" t="n">
        <x:f>COUNTIF(Candidates!$P$2:$P$201,A6)</x:f>
        <x:v>0</x:v>
      </x:c>
      <x:c r="G6" s="26" t="n">
        <x:f>SUMIF(Candidates!$P$2:$P$201,A6,Candidates!$L$2:$L$201)</x:f>
        <x:v>0</x:v>
      </x:c>
      <x:c r="H6" s="26" t="n">
        <x:f>IFERROR(AVERAGEIF(Candidates!$P$2:$P$201,A6,Candidates!$M$2:$M$201),0)</x:f>
        <x:v>0</x:v>
      </x:c>
      <x:c r="I6" s="26" t="n">
        <x:f>COUNTIFS(Candidates!$P$2:$P$201,A6,Candidates!$N$2:$N$201,"High")+COUNTIFS(Candidates!$P$2:$P$201,A6,Candidates!$N$2:$N$201,"Very High")</x:f>
        <x:v>0</x:v>
      </x:c>
      <x:c r="J6" t="str">
        <x:v>Not Started</x:v>
      </x:c>
      <x:c r="K6" t="str">
        <x:v>Prior waves stable.</x:v>
      </x:c>
      <x:c r="L6" t="str">
        <x:v>Remaining scope closed.</x:v>
      </x:c>
      <x:c r="M6" t="str"/>
    </x:row>
    <x:row r="7">
      <x:c r="C7" s="28"/>
      <x:c r="D7" s="28"/>
      <x:c r="F7" s="26" t="n">
        <x:f>COUNTIF(Candidates!$P$2:$P$201,A7)</x:f>
        <x:v>0</x:v>
      </x:c>
      <x:c r="G7" s="26" t="n">
        <x:f>SUMIF(Candidates!$P$2:$P$201,A7,Candidates!$L$2:$L$201)</x:f>
        <x:v>0</x:v>
      </x:c>
      <x:c r="H7" s="26" t="n">
        <x:f>IFERROR(AVERAGEIF(Candidates!$P$2:$P$201,A7,Candidates!$M$2:$M$201),0)</x:f>
        <x:v>0</x:v>
      </x:c>
      <x:c r="I7" s="26" t="n">
        <x:f>COUNTIFS(Candidates!$P$2:$P$201,A7,Candidates!$N$2:$N$201,"High")+COUNTIFS(Candidates!$P$2:$P$201,A7,Candidates!$N$2:$N$201,"Very High")</x:f>
        <x:v>0</x:v>
      </x:c>
    </x:row>
    <x:row r="8">
      <x:c r="C8" s="28"/>
      <x:c r="D8" s="28"/>
      <x:c r="F8" s="26" t="n">
        <x:f>COUNTIF(Candidates!$P$2:$P$201,A8)</x:f>
        <x:v>0</x:v>
      </x:c>
      <x:c r="G8" s="26" t="n">
        <x:f>SUMIF(Candidates!$P$2:$P$201,A8,Candidates!$L$2:$L$201)</x:f>
        <x:v>0</x:v>
      </x:c>
      <x:c r="H8" s="26" t="n">
        <x:f>IFERROR(AVERAGEIF(Candidates!$P$2:$P$201,A8,Candidates!$M$2:$M$201),0)</x:f>
        <x:v>0</x:v>
      </x:c>
      <x:c r="I8" s="26" t="n">
        <x:f>COUNTIFS(Candidates!$P$2:$P$201,A8,Candidates!$N$2:$N$201,"High")+COUNTIFS(Candidates!$P$2:$P$201,A8,Candidates!$N$2:$N$201,"Very High")</x:f>
        <x:v>0</x:v>
      </x:c>
    </x:row>
    <x:row r="9">
      <x:c r="C9" s="28"/>
      <x:c r="D9" s="28"/>
      <x:c r="F9" s="26" t="n">
        <x:f>COUNTIF(Candidates!$P$2:$P$201,A9)</x:f>
        <x:v>0</x:v>
      </x:c>
      <x:c r="G9" s="26" t="n">
        <x:f>SUMIF(Candidates!$P$2:$P$201,A9,Candidates!$L$2:$L$201)</x:f>
        <x:v>0</x:v>
      </x:c>
      <x:c r="H9" s="26" t="n">
        <x:f>IFERROR(AVERAGEIF(Candidates!$P$2:$P$201,A9,Candidates!$M$2:$M$201),0)</x:f>
        <x:v>0</x:v>
      </x:c>
      <x:c r="I9" s="26" t="n">
        <x:f>COUNTIFS(Candidates!$P$2:$P$201,A9,Candidates!$N$2:$N$201,"High")+COUNTIFS(Candidates!$P$2:$P$201,A9,Candidates!$N$2:$N$201,"Very High")</x:f>
        <x:v>0</x:v>
      </x:c>
    </x:row>
    <x:row r="10">
      <x:c r="C10" s="28"/>
      <x:c r="D10" s="28"/>
      <x:c r="F10" s="26" t="n">
        <x:f>COUNTIF(Candidates!$P$2:$P$201,A10)</x:f>
        <x:v>0</x:v>
      </x:c>
      <x:c r="G10" s="26" t="n">
        <x:f>SUMIF(Candidates!$P$2:$P$201,A10,Candidates!$L$2:$L$201)</x:f>
        <x:v>0</x:v>
      </x:c>
      <x:c r="H10" s="26" t="n">
        <x:f>IFERROR(AVERAGEIF(Candidates!$P$2:$P$201,A10,Candidates!$M$2:$M$201),0)</x:f>
        <x:v>0</x:v>
      </x:c>
      <x:c r="I10" s="26" t="n">
        <x:f>COUNTIFS(Candidates!$P$2:$P$201,A10,Candidates!$N$2:$N$201,"High")+COUNTIFS(Candidates!$P$2:$P$201,A10,Candidates!$N$2:$N$201,"Very High")</x:f>
        <x:v>0</x:v>
      </x:c>
    </x:row>
    <x:row r="11">
      <x:c r="C11" s="28"/>
      <x:c r="D11" s="28"/>
      <x:c r="F11" s="26" t="n">
        <x:f>COUNTIF(Candidates!$P$2:$P$201,A11)</x:f>
        <x:v>0</x:v>
      </x:c>
      <x:c r="G11" s="26" t="n">
        <x:f>SUMIF(Candidates!$P$2:$P$201,A11,Candidates!$L$2:$L$201)</x:f>
        <x:v>0</x:v>
      </x:c>
      <x:c r="H11" s="26" t="n">
        <x:f>IFERROR(AVERAGEIF(Candidates!$P$2:$P$201,A11,Candidates!$M$2:$M$201),0)</x:f>
        <x:v>0</x:v>
      </x:c>
      <x:c r="I11" s="26" t="n">
        <x:f>COUNTIFS(Candidates!$P$2:$P$201,A11,Candidates!$N$2:$N$201,"High")+COUNTIFS(Candidates!$P$2:$P$201,A11,Candidates!$N$2:$N$201,"Very High")</x:f>
        <x:v>0</x:v>
      </x:c>
    </x:row>
    <x:row r="12">
      <x:c r="C12" s="28"/>
      <x:c r="D12" s="28"/>
      <x:c r="F12" s="26" t="n">
        <x:f>COUNTIF(Candidates!$P$2:$P$201,A12)</x:f>
        <x:v>0</x:v>
      </x:c>
      <x:c r="G12" s="26" t="n">
        <x:f>SUMIF(Candidates!$P$2:$P$201,A12,Candidates!$L$2:$L$201)</x:f>
        <x:v>0</x:v>
      </x:c>
      <x:c r="H12" s="26" t="n">
        <x:f>IFERROR(AVERAGEIF(Candidates!$P$2:$P$201,A12,Candidates!$M$2:$M$201),0)</x:f>
        <x:v>0</x:v>
      </x:c>
      <x:c r="I12" s="26" t="n">
        <x:f>COUNTIFS(Candidates!$P$2:$P$201,A12,Candidates!$N$2:$N$201,"High")+COUNTIFS(Candidates!$P$2:$P$201,A12,Candidates!$N$2:$N$201,"Very High")</x:f>
        <x:v>0</x:v>
      </x:c>
    </x:row>
    <x:row r="13">
      <x:c r="C13" s="28"/>
      <x:c r="D13" s="28"/>
      <x:c r="F13" s="26" t="n">
        <x:f>COUNTIF(Candidates!$P$2:$P$201,A13)</x:f>
        <x:v>0</x:v>
      </x:c>
      <x:c r="G13" s="26" t="n">
        <x:f>SUMIF(Candidates!$P$2:$P$201,A13,Candidates!$L$2:$L$201)</x:f>
        <x:v>0</x:v>
      </x:c>
      <x:c r="H13" s="26" t="n">
        <x:f>IFERROR(AVERAGEIF(Candidates!$P$2:$P$201,A13,Candidates!$M$2:$M$201),0)</x:f>
        <x:v>0</x:v>
      </x:c>
      <x:c r="I13" s="26" t="n">
        <x:f>COUNTIFS(Candidates!$P$2:$P$201,A13,Candidates!$N$2:$N$201,"High")+COUNTIFS(Candidates!$P$2:$P$201,A13,Candidates!$N$2:$N$201,"Very High")</x:f>
        <x:v>0</x:v>
      </x:c>
    </x:row>
    <x:row r="14">
      <x:c r="C14" s="28"/>
      <x:c r="D14" s="28"/>
      <x:c r="F14" s="26" t="n">
        <x:f>COUNTIF(Candidates!$P$2:$P$201,A14)</x:f>
        <x:v>0</x:v>
      </x:c>
      <x:c r="G14" s="26" t="n">
        <x:f>SUMIF(Candidates!$P$2:$P$201,A14,Candidates!$L$2:$L$201)</x:f>
        <x:v>0</x:v>
      </x:c>
      <x:c r="H14" s="26" t="n">
        <x:f>IFERROR(AVERAGEIF(Candidates!$P$2:$P$201,A14,Candidates!$M$2:$M$201),0)</x:f>
        <x:v>0</x:v>
      </x:c>
      <x:c r="I14" s="26" t="n">
        <x:f>COUNTIFS(Candidates!$P$2:$P$201,A14,Candidates!$N$2:$N$201,"High")+COUNTIFS(Candidates!$P$2:$P$201,A14,Candidates!$N$2:$N$201,"Very High")</x:f>
        <x:v>0</x:v>
      </x:c>
    </x:row>
    <x:row r="15">
      <x:c r="C15" s="28"/>
      <x:c r="D15" s="28"/>
      <x:c r="F15" s="26" t="n">
        <x:f>COUNTIF(Candidates!$P$2:$P$201,A15)</x:f>
        <x:v>0</x:v>
      </x:c>
      <x:c r="G15" s="26" t="n">
        <x:f>SUMIF(Candidates!$P$2:$P$201,A15,Candidates!$L$2:$L$201)</x:f>
        <x:v>0</x:v>
      </x:c>
      <x:c r="H15" s="26" t="n">
        <x:f>IFERROR(AVERAGEIF(Candidates!$P$2:$P$201,A15,Candidates!$M$2:$M$201),0)</x:f>
        <x:v>0</x:v>
      </x:c>
      <x:c r="I15" s="26" t="n">
        <x:f>COUNTIFS(Candidates!$P$2:$P$201,A15,Candidates!$N$2:$N$201,"High")+COUNTIFS(Candidates!$P$2:$P$201,A15,Candidates!$N$2:$N$201,"Very High")</x:f>
        <x:v>0</x:v>
      </x:c>
    </x:row>
  </x:sheetData>
  <x:conditionalFormatting sqref="H2:H15">
    <x:cfRule type="colorScale" priority="1">
      <x:colorScale>
        <x:cfvo type="min"/>
        <x:cfvo type="percentile" val="50"/>
        <x:cfvo type="max"/>
        <x:color rgb="FFDCFCE7"/>
        <x:color rgb="FFFEF3C7"/>
        <x:color rgb="FFFCA5A5"/>
      </x:colorScale>
    </x:cfRule>
  </x:conditionalFormatting>
  <x:conditionalFormatting sqref="I2:I15">
    <x:cfRule type="dataBar" priority="2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{AEB731B9-C052-49E0-A4B4-CE24FEA27AD9}</x14:id>
        </x:ext>
      </x:extLst>
    </x:cfRule>
  </x:conditionalFormatting>
  <x:dataValidations count="1">
    <x:dataValidation type="list" sqref="J2:J15">
      <x:formula1>'Reference Lists'!$E$2:$E$7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8aecc2d3ac415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EB731B9-C052-49E0-A4B4-CE24FEA27AD9}">
            <x14:dataBar gradient="1">
              <x14:cfvo type="min"/>
              <x14:cfvo type="max"/>
              <x14:fillColor rgb="FF1F4E78"/>
            </x14:dataBar>
          </x14:cfRule>
          <xm:sqref>I2:I15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  <x:col min="7" max="7" width="38" hidden="0" customWidth="1"/>
  </x:cols>
  <x:sheetData>
    <x:row r="1">
      <x:c r="A1" s="21" t="str">
        <x:v>Role</x:v>
      </x:c>
      <x:c r="B1" s="21" t="str">
        <x:v>FTE</x:v>
      </x:c>
      <x:c r="C1" s="21" t="str">
        <x:v>Available Days / Month</x:v>
      </x:c>
      <x:c r="D1" s="21" t="str">
        <x:v>Productivity Factor</x:v>
      </x:c>
      <x:c r="E1" s="21" t="str">
        <x:v>Effective Capacity Days</x:v>
      </x:c>
      <x:c r="F1" s="21" t="str">
        <x:v>Primary Wave Focus</x:v>
      </x:c>
      <x:c r="G1" s="21" t="str">
        <x:v>Notes</x:v>
      </x:c>
    </x:row>
    <x:row r="2">
      <x:c r="A2" t="str">
        <x:v>Migration Lead</x:v>
      </x:c>
      <x:c r="B2" s="26" t="n">
        <x:v>1</x:v>
      </x:c>
      <x:c r="C2" s="26" t="n">
        <x:v>18</x:v>
      </x:c>
      <x:c r="D2" s="26" t="n">
        <x:v>0.8</x:v>
      </x:c>
      <x:c r="E2" s="26" t="n">
        <x:f>B2*C2*D2</x:f>
        <x:v>14.4</x:v>
      </x:c>
      <x:c r="F2" t="str">
        <x:v>All Waves</x:v>
      </x:c>
      <x:c r="G2" t="str">
        <x:v>Governance, sequencing, delivery oversight</x:v>
      </x:c>
    </x:row>
    <x:row r="3">
      <x:c r="A3" t="str">
        <x:v>Solution Architect</x:v>
      </x:c>
      <x:c r="B3" s="26" t="n">
        <x:v>0.5</x:v>
      </x:c>
      <x:c r="C3" s="26" t="n">
        <x:v>10</x:v>
      </x:c>
      <x:c r="D3" s="26" t="n">
        <x:v>0.8</x:v>
      </x:c>
      <x:c r="E3" s="26" t="n">
        <x:f>B3*C3*D3</x:f>
        <x:v>4</x:v>
      </x:c>
      <x:c r="F3" t="str">
        <x:v>Wave 0-2</x:v>
      </x:c>
      <x:c r="G3" t="str">
        <x:v>Architecture and pattern review</x:v>
      </x:c>
    </x:row>
    <x:row r="4">
      <x:c r="A4" t="str">
        <x:v>Data Architect</x:v>
      </x:c>
      <x:c r="B4" s="26" t="n">
        <x:v>1</x:v>
      </x:c>
      <x:c r="C4" s="26" t="n">
        <x:v>18</x:v>
      </x:c>
      <x:c r="D4" s="26" t="n">
        <x:v>0.75</x:v>
      </x:c>
      <x:c r="E4" s="26" t="n">
        <x:f>B4*C4*D4</x:f>
        <x:v>13.5</x:v>
      </x:c>
      <x:c r="F4" t="str">
        <x:v>Wave 1-3</x:v>
      </x:c>
      <x:c r="G4" t="str">
        <x:v>Data modeling, dependencies, validation</x:v>
      </x:c>
    </x:row>
    <x:row r="5">
      <x:c r="A5" t="str">
        <x:v>Developer</x:v>
      </x:c>
      <x:c r="B5" s="26" t="n">
        <x:v>2</x:v>
      </x:c>
      <x:c r="C5" s="26" t="n">
        <x:v>36</x:v>
      </x:c>
      <x:c r="D5" s="26" t="n">
        <x:v>0.8</x:v>
      </x:c>
      <x:c r="E5" s="26" t="n">
        <x:f>B5*C5*D5</x:f>
        <x:v>57.6</x:v>
      </x:c>
      <x:c r="F5" t="str">
        <x:v>Wave 1-4</x:v>
      </x:c>
      <x:c r="G5" t="str">
        <x:v>Migration execution</x:v>
      </x:c>
    </x:row>
    <x:row r="6">
      <x:c r="A6" t="str">
        <x:v>QA Analyst</x:v>
      </x:c>
      <x:c r="B6" s="26" t="n">
        <x:v>1</x:v>
      </x:c>
      <x:c r="C6" s="26" t="n">
        <x:v>18</x:v>
      </x:c>
      <x:c r="D6" s="26" t="n">
        <x:v>0.75</x:v>
      </x:c>
      <x:c r="E6" s="26" t="n">
        <x:f>B6*C6*D6</x:f>
        <x:v>13.5</x:v>
      </x:c>
      <x:c r="F6" t="str">
        <x:v>Wave 1-4</x:v>
      </x:c>
      <x:c r="G6" t="str">
        <x:v>Testing and validation</x:v>
      </x:c>
    </x:row>
    <x:row r="7">
      <x:c r="A7" t="str">
        <x:v>Platform Lead</x:v>
      </x:c>
      <x:c r="B7" s="26" t="n">
        <x:v>0.5</x:v>
      </x:c>
      <x:c r="C7" s="26" t="n">
        <x:v>10</x:v>
      </x:c>
      <x:c r="D7" s="26" t="n">
        <x:v>0.7</x:v>
      </x:c>
      <x:c r="E7" s="26" t="n">
        <x:f>B7*C7*D7</x:f>
        <x:v>3.5</x:v>
      </x:c>
      <x:c r="F7" t="str">
        <x:v>Wave 0-4</x:v>
      </x:c>
      <x:c r="G7" t="str">
        <x:v>Environment and operations readiness</x:v>
      </x:c>
    </x:row>
    <x:row r="8">
      <x:c r="B8" s="26"/>
      <x:c r="C8" s="26"/>
      <x:c r="D8" s="26"/>
      <x:c r="E8" s="26" t="n">
        <x:f>B8*C8*D8</x:f>
        <x:v>0</x:v>
      </x:c>
    </x:row>
    <x:row r="9">
      <x:c r="B9" s="26"/>
      <x:c r="C9" s="26"/>
      <x:c r="D9" s="26"/>
      <x:c r="E9" s="26" t="n">
        <x:f>B9*C9*D9</x:f>
        <x:v>0</x:v>
      </x:c>
    </x:row>
    <x:row r="10">
      <x:c r="B10" s="26"/>
      <x:c r="C10" s="26"/>
      <x:c r="D10" s="26"/>
      <x:c r="E10" s="26" t="n">
        <x:f>B10*C10*D10</x:f>
        <x:v>0</x:v>
      </x:c>
    </x:row>
    <x:row r="11">
      <x:c r="B11" s="26"/>
      <x:c r="C11" s="26"/>
      <x:c r="D11" s="26"/>
      <x:c r="E11" s="26" t="n">
        <x:f>B11*C11*D11</x:f>
        <x:v>0</x:v>
      </x:c>
    </x:row>
    <x:row r="12">
      <x:c r="B12" s="26"/>
      <x:c r="C12" s="26"/>
      <x:c r="D12" s="26"/>
      <x:c r="E12" s="26" t="n">
        <x:f>B12*C12*D12</x:f>
        <x:v>0</x:v>
      </x:c>
    </x:row>
    <x:row r="13">
      <x:c r="B13" s="26"/>
      <x:c r="C13" s="26"/>
      <x:c r="D13" s="26"/>
      <x:c r="E13" s="26" t="n">
        <x:f>B13*C13*D13</x:f>
        <x:v>0</x:v>
      </x:c>
    </x:row>
    <x:row r="14">
      <x:c r="B14" s="26"/>
      <x:c r="C14" s="26"/>
      <x:c r="D14" s="26"/>
      <x:c r="E14" s="26" t="n">
        <x:f>B14*C14*D14</x:f>
        <x:v>0</x:v>
      </x:c>
    </x:row>
    <x:row r="15">
      <x:c r="B15" s="26"/>
      <x:c r="C15" s="26"/>
      <x:c r="D15" s="26"/>
      <x:c r="E15" s="26" t="n">
        <x:f>B15*C15*D15</x:f>
        <x:v>0</x:v>
      </x:c>
    </x:row>
    <x:row r="16">
      <x:c r="B16" s="26"/>
      <x:c r="C16" s="26"/>
      <x:c r="D16" s="26"/>
      <x:c r="E16" s="26" t="n">
        <x:f>B16*C16*D16</x:f>
        <x:v>0</x:v>
      </x:c>
    </x:row>
    <x:row r="17">
      <x:c r="B17" s="26"/>
      <x:c r="C17" s="26"/>
      <x:c r="D17" s="26"/>
      <x:c r="E17" s="26" t="n">
        <x:f>B17*C17*D17</x:f>
        <x:v>0</x:v>
      </x:c>
    </x:row>
    <x:row r="18">
      <x:c r="B18" s="26"/>
      <x:c r="C18" s="26"/>
      <x:c r="D18" s="26"/>
      <x:c r="E18" s="26" t="n">
        <x:f>B18*C18*D18</x:f>
        <x:v>0</x:v>
      </x:c>
    </x:row>
    <x:row r="19">
      <x:c r="B19" s="26"/>
      <x:c r="C19" s="26"/>
      <x:c r="D19" s="26"/>
      <x:c r="E19" s="26" t="n">
        <x:f>B19*C19*D19</x:f>
        <x:v>0</x:v>
      </x:c>
    </x:row>
    <x:row r="20">
      <x:c r="B20" s="26"/>
      <x:c r="C20" s="26"/>
      <x:c r="D20" s="26"/>
      <x:c r="E20" s="26" t="n">
        <x:f>B20*C20*D20</x:f>
        <x:v>0</x:v>
      </x:c>
    </x:row>
    <x:row r="21">
      <x:c r="B21" s="26"/>
      <x:c r="C21" s="26"/>
      <x:c r="D21" s="26"/>
      <x:c r="E21" s="26" t="n">
        <x:f>B21*C21*D21</x:f>
        <x:v>0</x:v>
      </x:c>
    </x:row>
    <x:row r="22">
      <x:c r="B22" s="26"/>
      <x:c r="C22" s="26"/>
      <x:c r="D22" s="26"/>
      <x:c r="E22" s="26" t="n">
        <x:f>B22*C22*D22</x:f>
        <x:v>0</x:v>
      </x:c>
    </x:row>
    <x:row r="23">
      <x:c r="B23" s="26"/>
      <x:c r="C23" s="26"/>
      <x:c r="D23" s="26"/>
      <x:c r="E23" s="26" t="n">
        <x:f>B23*C23*D23</x:f>
        <x:v>0</x:v>
      </x:c>
    </x:row>
    <x:row r="24">
      <x:c r="B24" s="26"/>
      <x:c r="C24" s="26"/>
      <x:c r="D24" s="26"/>
      <x:c r="E24" s="26" t="n">
        <x:f>B24*C24*D24</x:f>
        <x:v>0</x:v>
      </x:c>
    </x:row>
    <x:row r="25">
      <x:c r="B25" s="26"/>
      <x:c r="C25" s="26"/>
      <x:c r="D25" s="26"/>
      <x:c r="E25" s="26" t="n">
        <x:f>B25*C25*D25</x:f>
        <x:v>0</x:v>
      </x:c>
    </x:row>
    <x:row r="26">
      <x:c r="B26" s="26"/>
      <x:c r="C26" s="26"/>
      <x:c r="D26" s="26"/>
      <x:c r="E26" s="26" t="n">
        <x:f>B26*C26*D26</x:f>
        <x:v>0</x:v>
      </x:c>
    </x:row>
    <x:row r="27">
      <x:c r="B27" s="26"/>
      <x:c r="C27" s="26"/>
      <x:c r="D27" s="26"/>
      <x:c r="E27" s="26" t="n">
        <x:f>B27*C27*D27</x:f>
        <x:v>0</x:v>
      </x:c>
    </x:row>
    <x:row r="28">
      <x:c r="B28" s="26"/>
      <x:c r="C28" s="26"/>
      <x:c r="D28" s="26"/>
      <x:c r="E28" s="26" t="n">
        <x:f>B28*C28*D28</x:f>
        <x:v>0</x:v>
      </x:c>
    </x:row>
    <x:row r="29">
      <x:c r="B29" s="26"/>
      <x:c r="C29" s="26"/>
      <x:c r="D29" s="26"/>
      <x:c r="E29" s="26" t="n">
        <x:f>B29*C29*D29</x:f>
        <x:v>0</x:v>
      </x:c>
    </x:row>
    <x:row r="30">
      <x:c r="B30" s="26"/>
      <x:c r="C30" s="26"/>
      <x:c r="D30" s="26"/>
      <x:c r="E30" s="26" t="n">
        <x:f>B30*C30*D30</x:f>
        <x:v>0</x:v>
      </x:c>
    </x:row>
    <x:row r="31">
      <x:c r="B31" s="26"/>
      <x:c r="C31" s="26"/>
      <x:c r="D31" s="26"/>
      <x:c r="E31" s="26" t="n">
        <x:f>B31*C31*D31</x:f>
        <x:v>0</x:v>
      </x:c>
    </x:row>
    <x:row r="32">
      <x:c r="B32" s="26"/>
      <x:c r="C32" s="26"/>
      <x:c r="D32" s="26"/>
      <x:c r="E32" s="26" t="n">
        <x:f>B32*C32*D32</x:f>
        <x:v>0</x:v>
      </x:c>
    </x:row>
    <x:row r="33">
      <x:c r="B33" s="26"/>
      <x:c r="C33" s="26"/>
      <x:c r="D33" s="26"/>
      <x:c r="E33" s="26" t="n">
        <x:f>B33*C33*D33</x:f>
        <x:v>0</x:v>
      </x:c>
    </x:row>
    <x:row r="34">
      <x:c r="B34" s="26"/>
      <x:c r="C34" s="26"/>
      <x:c r="D34" s="26"/>
      <x:c r="E34" s="26" t="n">
        <x:f>B34*C34*D34</x:f>
        <x:v>0</x:v>
      </x:c>
    </x:row>
    <x:row r="35">
      <x:c r="B35" s="26"/>
      <x:c r="C35" s="26"/>
      <x:c r="D35" s="26"/>
      <x:c r="E35" s="26" t="n">
        <x:f>B35*C35*D35</x:f>
        <x:v>0</x:v>
      </x:c>
    </x:row>
    <x:row r="36">
      <x:c r="B36" s="26"/>
      <x:c r="C36" s="26"/>
      <x:c r="D36" s="26"/>
      <x:c r="E36" s="26" t="n">
        <x:f>B36*C36*D36</x:f>
        <x:v>0</x:v>
      </x:c>
    </x:row>
    <x:row r="37">
      <x:c r="B37" s="26"/>
      <x:c r="C37" s="26"/>
      <x:c r="D37" s="26"/>
      <x:c r="E37" s="26" t="n">
        <x:f>B37*C37*D37</x:f>
        <x:v>0</x:v>
      </x:c>
    </x:row>
    <x:row r="38">
      <x:c r="B38" s="26"/>
      <x:c r="C38" s="26"/>
      <x:c r="D38" s="26"/>
      <x:c r="E38" s="26" t="n">
        <x:f>B38*C38*D38</x:f>
        <x:v>0</x:v>
      </x:c>
    </x:row>
    <x:row r="39">
      <x:c r="B39" s="26"/>
      <x:c r="C39" s="26"/>
      <x:c r="D39" s="26"/>
      <x:c r="E39" s="26" t="n">
        <x:f>B39*C39*D39</x:f>
        <x:v>0</x:v>
      </x:c>
    </x:row>
    <x:row r="40">
      <x:c r="B40" s="26"/>
      <x:c r="C40" s="26"/>
      <x:c r="D40" s="26"/>
      <x:c r="E40" s="26" t="n">
        <x:f>B40*C40*D40</x:f>
        <x:v>0</x:v>
      </x:c>
    </x:row>
    <x:row r="41">
      <x:c r="B41" s="26"/>
      <x:c r="C41" s="26"/>
      <x:c r="D41" s="26"/>
      <x:c r="E41" s="26" t="n">
        <x:f>B41*C41*D41</x:f>
        <x:v>0</x:v>
      </x:c>
    </x:row>
    <x:row r="42">
      <x:c r="B42" s="26"/>
      <x:c r="C42" s="26"/>
      <x:c r="D42" s="26"/>
      <x:c r="E42" s="26" t="n">
        <x:f>B42*C42*D42</x:f>
        <x:v>0</x:v>
      </x:c>
    </x:row>
    <x:row r="43">
      <x:c r="B43" s="26"/>
      <x:c r="C43" s="26"/>
      <x:c r="D43" s="26"/>
      <x:c r="E43" s="26" t="n">
        <x:f>B43*C43*D43</x:f>
        <x:v>0</x:v>
      </x:c>
    </x:row>
    <x:row r="44">
      <x:c r="B44" s="26"/>
      <x:c r="C44" s="26"/>
      <x:c r="D44" s="26"/>
      <x:c r="E44" s="26" t="n">
        <x:f>B44*C44*D44</x:f>
        <x:v>0</x:v>
      </x:c>
    </x:row>
    <x:row r="45">
      <x:c r="B45" s="26"/>
      <x:c r="C45" s="26"/>
      <x:c r="D45" s="26"/>
      <x:c r="E45" s="26" t="n">
        <x:f>B45*C45*D45</x:f>
        <x:v>0</x:v>
      </x:c>
    </x:row>
    <x:row r="46">
      <x:c r="B46" s="26"/>
      <x:c r="C46" s="26"/>
      <x:c r="D46" s="26"/>
      <x:c r="E46" s="26" t="n">
        <x:f>B46*C46*D46</x:f>
        <x:v>0</x:v>
      </x:c>
    </x:row>
    <x:row r="47">
      <x:c r="B47" s="26"/>
      <x:c r="C47" s="26"/>
      <x:c r="D47" s="26"/>
      <x:c r="E47" s="26" t="n">
        <x:f>B47*C47*D47</x:f>
        <x:v>0</x:v>
      </x:c>
    </x:row>
    <x:row r="48">
      <x:c r="B48" s="26"/>
      <x:c r="C48" s="26"/>
      <x:c r="D48" s="26"/>
      <x:c r="E48" s="26" t="n">
        <x:f>B48*C48*D48</x:f>
        <x:v>0</x:v>
      </x:c>
    </x:row>
    <x:row r="49">
      <x:c r="B49" s="26"/>
      <x:c r="C49" s="26"/>
      <x:c r="D49" s="26"/>
      <x:c r="E49" s="26" t="n">
        <x:f>B49*C49*D49</x:f>
        <x:v>0</x:v>
      </x:c>
    </x:row>
    <x:row r="50">
      <x:c r="B50" s="26"/>
      <x:c r="C50" s="26"/>
      <x:c r="D50" s="26"/>
      <x:c r="E50" s="26" t="n">
        <x:f>B50*C50*D50</x:f>
        <x:v>0</x:v>
      </x:c>
    </x:row>
    <x:row r="51">
      <x:c r="B51" s="26"/>
      <x:c r="C51" s="26"/>
      <x:c r="D51" s="26"/>
      <x:c r="E51" s="26" t="n">
        <x:f>B51*C51*D51</x:f>
        <x:v>0</x:v>
      </x:c>
    </x:row>
    <x:row r="52">
      <x:c r="B52" s="26"/>
      <x:c r="C52" s="26"/>
      <x:c r="D52" s="26"/>
      <x:c r="E52" s="26" t="n">
        <x:f>B52*C52*D52</x:f>
        <x:v>0</x:v>
      </x:c>
    </x:row>
    <x:row r="53">
      <x:c r="B53" s="26"/>
      <x:c r="C53" s="26"/>
      <x:c r="D53" s="26"/>
      <x:c r="E53" s="26" t="n">
        <x:f>B53*C53*D53</x:f>
        <x:v>0</x:v>
      </x:c>
    </x:row>
    <x:row r="54">
      <x:c r="B54" s="26"/>
      <x:c r="C54" s="26"/>
      <x:c r="D54" s="26"/>
      <x:c r="E54" s="26" t="n">
        <x:f>B54*C54*D54</x:f>
        <x:v>0</x:v>
      </x:c>
    </x:row>
    <x:row r="55">
      <x:c r="B55" s="26"/>
      <x:c r="C55" s="26"/>
      <x:c r="D55" s="26"/>
      <x:c r="E55" s="26" t="n">
        <x:f>B55*C55*D55</x:f>
        <x:v>0</x:v>
      </x:c>
    </x:row>
    <x:row r="56">
      <x:c r="B56" s="26"/>
      <x:c r="C56" s="26"/>
      <x:c r="D56" s="26"/>
      <x:c r="E56" s="26" t="n">
        <x:f>B56*C56*D56</x:f>
        <x:v>0</x:v>
      </x:c>
    </x:row>
    <x:row r="57">
      <x:c r="B57" s="26"/>
      <x:c r="C57" s="26"/>
      <x:c r="D57" s="26"/>
      <x:c r="E57" s="26" t="n">
        <x:f>B57*C57*D57</x:f>
        <x:v>0</x:v>
      </x:c>
    </x:row>
    <x:row r="58">
      <x:c r="B58" s="26"/>
      <x:c r="C58" s="26"/>
      <x:c r="D58" s="26"/>
      <x:c r="E58" s="26" t="n">
        <x:f>B58*C58*D58</x:f>
        <x:v>0</x:v>
      </x:c>
    </x:row>
    <x:row r="59">
      <x:c r="B59" s="26"/>
      <x:c r="C59" s="26"/>
      <x:c r="D59" s="26"/>
      <x:c r="E59" s="26" t="n">
        <x:f>B59*C59*D59</x:f>
        <x:v>0</x:v>
      </x:c>
    </x:row>
    <x:row r="60">
      <x:c r="B60" s="26"/>
      <x:c r="C60" s="26"/>
      <x:c r="D60" s="26"/>
      <x:c r="E60" s="26" t="n">
        <x:f>B60*C60*D60</x:f>
        <x:v>0</x:v>
      </x:c>
    </x:row>
    <x:row r="61">
      <x:c r="B61" s="26"/>
      <x:c r="C61" s="26"/>
      <x:c r="D61" s="26"/>
      <x:c r="E61" s="26" t="n">
        <x:f>B61*C61*D61</x:f>
        <x:v>0</x:v>
      </x:c>
    </x:row>
    <x:row r="62">
      <x:c r="B62" s="26"/>
      <x:c r="C62" s="26"/>
      <x:c r="D62" s="26"/>
      <x:c r="E62" s="26" t="n">
        <x:f>B62*C62*D62</x:f>
        <x:v>0</x:v>
      </x:c>
    </x:row>
    <x:row r="63">
      <x:c r="B63" s="26"/>
      <x:c r="C63" s="26"/>
      <x:c r="D63" s="26"/>
      <x:c r="E63" s="26" t="n">
        <x:f>B63*C63*D63</x:f>
        <x:v>0</x:v>
      </x:c>
    </x:row>
    <x:row r="64">
      <x:c r="B64" s="26"/>
      <x:c r="C64" s="26"/>
      <x:c r="D64" s="26"/>
      <x:c r="E64" s="26" t="n">
        <x:f>B64*C64*D64</x:f>
        <x:v>0</x:v>
      </x:c>
    </x:row>
    <x:row r="65">
      <x:c r="B65" s="26"/>
      <x:c r="C65" s="26"/>
      <x:c r="D65" s="26"/>
      <x:c r="E65" s="26" t="n">
        <x:f>B65*C65*D65</x:f>
        <x:v>0</x:v>
      </x:c>
    </x:row>
    <x:row r="66">
      <x:c r="B66" s="26"/>
      <x:c r="C66" s="26"/>
      <x:c r="D66" s="26"/>
      <x:c r="E66" s="26" t="n">
        <x:f>B66*C66*D66</x:f>
        <x:v>0</x:v>
      </x:c>
    </x:row>
    <x:row r="67">
      <x:c r="B67" s="26"/>
      <x:c r="C67" s="26"/>
      <x:c r="D67" s="26"/>
      <x:c r="E67" s="26" t="n">
        <x:f>B67*C67*D67</x:f>
        <x:v>0</x:v>
      </x:c>
    </x:row>
    <x:row r="68">
      <x:c r="B68" s="26"/>
      <x:c r="C68" s="26"/>
      <x:c r="D68" s="26"/>
      <x:c r="E68" s="26" t="n">
        <x:f>B68*C68*D68</x:f>
        <x:v>0</x:v>
      </x:c>
    </x:row>
    <x:row r="69">
      <x:c r="B69" s="26"/>
      <x:c r="C69" s="26"/>
      <x:c r="D69" s="26"/>
      <x:c r="E69" s="26" t="n">
        <x:f>B69*C69*D69</x:f>
        <x:v>0</x:v>
      </x:c>
    </x:row>
    <x:row r="70">
      <x:c r="B70" s="26"/>
      <x:c r="C70" s="26"/>
      <x:c r="D70" s="26"/>
      <x:c r="E70" s="26" t="n">
        <x:f>B70*C70*D70</x:f>
        <x:v>0</x:v>
      </x:c>
    </x:row>
    <x:row r="71">
      <x:c r="B71" s="26"/>
      <x:c r="C71" s="26"/>
      <x:c r="D71" s="26"/>
      <x:c r="E71" s="26" t="n">
        <x:f>B71*C71*D71</x:f>
        <x:v>0</x:v>
      </x:c>
    </x:row>
    <x:row r="72">
      <x:c r="B72" s="26"/>
      <x:c r="C72" s="26"/>
      <x:c r="D72" s="26"/>
      <x:c r="E72" s="26" t="n">
        <x:f>B72*C72*D72</x:f>
        <x:v>0</x:v>
      </x:c>
    </x:row>
    <x:row r="73">
      <x:c r="B73" s="26"/>
      <x:c r="C73" s="26"/>
      <x:c r="D73" s="26"/>
      <x:c r="E73" s="26" t="n">
        <x:f>B73*C73*D73</x:f>
        <x:v>0</x:v>
      </x:c>
    </x:row>
    <x:row r="74">
      <x:c r="B74" s="26"/>
      <x:c r="C74" s="26"/>
      <x:c r="D74" s="26"/>
      <x:c r="E74" s="26" t="n">
        <x:f>B74*C74*D74</x:f>
        <x:v>0</x:v>
      </x:c>
    </x:row>
    <x:row r="75">
      <x:c r="B75" s="26"/>
      <x:c r="C75" s="26"/>
      <x:c r="D75" s="26"/>
      <x:c r="E75" s="26" t="n">
        <x:f>B75*C75*D75</x:f>
        <x:v>0</x:v>
      </x:c>
    </x:row>
    <x:row r="76">
      <x:c r="B76" s="26"/>
      <x:c r="C76" s="26"/>
      <x:c r="D76" s="26"/>
      <x:c r="E76" s="26" t="n">
        <x:f>B76*C76*D76</x:f>
        <x:v>0</x:v>
      </x:c>
    </x:row>
    <x:row r="77">
      <x:c r="B77" s="26"/>
      <x:c r="C77" s="26"/>
      <x:c r="D77" s="26"/>
      <x:c r="E77" s="26" t="n">
        <x:f>B77*C77*D77</x:f>
        <x:v>0</x:v>
      </x:c>
    </x:row>
    <x:row r="78">
      <x:c r="B78" s="26"/>
      <x:c r="C78" s="26"/>
      <x:c r="D78" s="26"/>
      <x:c r="E78" s="26" t="n">
        <x:f>B78*C78*D78</x:f>
        <x:v>0</x:v>
      </x:c>
    </x:row>
    <x:row r="79">
      <x:c r="B79" s="26"/>
      <x:c r="C79" s="26"/>
      <x:c r="D79" s="26"/>
      <x:c r="E79" s="26" t="n">
        <x:f>B79*C79*D79</x:f>
        <x:v>0</x:v>
      </x:c>
    </x:row>
    <x:row r="80">
      <x:c r="B80" s="26"/>
      <x:c r="C80" s="26"/>
      <x:c r="D80" s="26"/>
      <x:c r="E80" s="26" t="n">
        <x:f>B80*C80*D80</x:f>
        <x:v>0</x:v>
      </x:c>
    </x:row>
    <x:row r="81">
      <x:c r="B81" s="26"/>
      <x:c r="C81" s="26"/>
      <x:c r="D81" s="26"/>
      <x:c r="E81" s="26" t="n">
        <x:f>B81*C81*D81</x:f>
        <x:v>0</x:v>
      </x:c>
    </x:row>
    <x:row r="82">
      <x:c r="B82" s="26"/>
      <x:c r="C82" s="26"/>
      <x:c r="D82" s="26"/>
      <x:c r="E82" s="26" t="n">
        <x:f>B82*C82*D82</x:f>
        <x:v>0</x:v>
      </x:c>
    </x:row>
    <x:row r="83">
      <x:c r="B83" s="26"/>
      <x:c r="C83" s="26"/>
      <x:c r="D83" s="26"/>
      <x:c r="E83" s="26" t="n">
        <x:f>B83*C83*D83</x:f>
        <x:v>0</x:v>
      </x:c>
    </x:row>
    <x:row r="84">
      <x:c r="B84" s="26"/>
      <x:c r="C84" s="26"/>
      <x:c r="D84" s="26"/>
      <x:c r="E84" s="26" t="n">
        <x:f>B84*C84*D84</x:f>
        <x:v>0</x:v>
      </x:c>
    </x:row>
    <x:row r="85">
      <x:c r="B85" s="26"/>
      <x:c r="C85" s="26"/>
      <x:c r="D85" s="26"/>
      <x:c r="E85" s="26" t="n">
        <x:f>B85*C85*D85</x:f>
        <x:v>0</x:v>
      </x:c>
    </x:row>
    <x:row r="86">
      <x:c r="B86" s="26"/>
      <x:c r="C86" s="26"/>
      <x:c r="D86" s="26"/>
      <x:c r="E86" s="26" t="n">
        <x:f>B86*C86*D86</x:f>
        <x:v>0</x:v>
      </x:c>
    </x:row>
    <x:row r="87">
      <x:c r="B87" s="26"/>
      <x:c r="C87" s="26"/>
      <x:c r="D87" s="26"/>
      <x:c r="E87" s="26" t="n">
        <x:f>B87*C87*D87</x:f>
        <x:v>0</x:v>
      </x:c>
    </x:row>
    <x:row r="88">
      <x:c r="B88" s="26"/>
      <x:c r="C88" s="26"/>
      <x:c r="D88" s="26"/>
      <x:c r="E88" s="26" t="n">
        <x:f>B88*C88*D88</x:f>
        <x:v>0</x:v>
      </x:c>
    </x:row>
    <x:row r="89">
      <x:c r="B89" s="26"/>
      <x:c r="C89" s="26"/>
      <x:c r="D89" s="26"/>
      <x:c r="E89" s="26" t="n">
        <x:f>B89*C89*D89</x:f>
        <x:v>0</x:v>
      </x:c>
    </x:row>
    <x:row r="90">
      <x:c r="B90" s="26"/>
      <x:c r="C90" s="26"/>
      <x:c r="D90" s="26"/>
      <x:c r="E90" s="26" t="n">
        <x:f>B90*C90*D90</x:f>
        <x:v>0</x:v>
      </x:c>
    </x:row>
    <x:row r="91">
      <x:c r="B91" s="26"/>
      <x:c r="C91" s="26"/>
      <x:c r="D91" s="26"/>
      <x:c r="E91" s="26" t="n">
        <x:f>B91*C91*D91</x:f>
        <x:v>0</x:v>
      </x:c>
    </x:row>
    <x:row r="92">
      <x:c r="B92" s="26"/>
      <x:c r="C92" s="26"/>
      <x:c r="D92" s="26"/>
      <x:c r="E92" s="26" t="n">
        <x:f>B92*C92*D92</x:f>
        <x:v>0</x:v>
      </x:c>
    </x:row>
    <x:row r="93">
      <x:c r="B93" s="26"/>
      <x:c r="C93" s="26"/>
      <x:c r="D93" s="26"/>
      <x:c r="E93" s="26" t="n">
        <x:f>B93*C93*D93</x:f>
        <x:v>0</x:v>
      </x:c>
    </x:row>
    <x:row r="94">
      <x:c r="B94" s="26"/>
      <x:c r="C94" s="26"/>
      <x:c r="D94" s="26"/>
      <x:c r="E94" s="26" t="n">
        <x:f>B94*C94*D94</x:f>
        <x:v>0</x:v>
      </x:c>
    </x:row>
    <x:row r="95">
      <x:c r="B95" s="26"/>
      <x:c r="C95" s="26"/>
      <x:c r="D95" s="26"/>
      <x:c r="E95" s="26" t="n">
        <x:f>B95*C95*D95</x:f>
        <x:v>0</x:v>
      </x:c>
    </x:row>
    <x:row r="96">
      <x:c r="B96" s="26"/>
      <x:c r="C96" s="26"/>
      <x:c r="D96" s="26"/>
      <x:c r="E96" s="26" t="n">
        <x:f>B96*C96*D96</x:f>
        <x:v>0</x:v>
      </x:c>
    </x:row>
    <x:row r="97">
      <x:c r="B97" s="26"/>
      <x:c r="C97" s="26"/>
      <x:c r="D97" s="26"/>
      <x:c r="E97" s="26" t="n">
        <x:f>B97*C97*D97</x:f>
        <x:v>0</x:v>
      </x:c>
    </x:row>
    <x:row r="98">
      <x:c r="B98" s="26"/>
      <x:c r="C98" s="26"/>
      <x:c r="D98" s="26"/>
      <x:c r="E98" s="26" t="n">
        <x:f>B98*C98*D98</x:f>
        <x:v>0</x:v>
      </x:c>
    </x:row>
    <x:row r="99">
      <x:c r="B99" s="26"/>
      <x:c r="C99" s="26"/>
      <x:c r="D99" s="26"/>
      <x:c r="E99" s="26" t="n">
        <x:f>B99*C99*D99</x:f>
        <x:v>0</x:v>
      </x:c>
    </x:row>
    <x:row r="100">
      <x:c r="B100" s="26"/>
      <x:c r="C100" s="26"/>
      <x:c r="D100" s="26"/>
      <x:c r="E100" s="26" t="n">
        <x:f>B100*C100*D100</x:f>
        <x:v>0</x:v>
      </x:c>
    </x:row>
  </x:sheetData>
  <x:dataValidations count="1">
    <x:dataValidation type="list" sqref="A2:A100">
      <x:formula1>'Reference Lists'!$J$2:$J$9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2ff35df11445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8" hidden="0" customWidth="1"/>
    <x:col min="5" max="5" width="42" hidden="0" customWidth="1"/>
    <x:col min="6" max="6" width="12" hidden="0" customWidth="1"/>
    <x:col min="7" max="7" width="14" hidden="0" customWidth="1"/>
    <x:col min="8" max="8" width="18" hidden="0" customWidth="1"/>
    <x:col min="9" max="9" width="20" hidden="0" customWidth="1"/>
    <x:col min="10" max="10" width="36" hidden="0" customWidth="1"/>
  </x:cols>
  <x:sheetData>
    <x:row r="1">
      <x:c r="A1" s="21" t="str">
        <x:v>Dependency ID</x:v>
      </x:c>
      <x:c r="B1" s="21" t="str">
        <x:v>Predecessor Candidate ID</x:v>
      </x:c>
      <x:c r="C1" s="21" t="str">
        <x:v>Successor Candidate ID</x:v>
      </x:c>
      <x:c r="D1" s="21" t="str">
        <x:v>Dependency Type</x:v>
      </x:c>
      <x:c r="E1" s="21" t="str">
        <x:v>Description</x:v>
      </x:c>
      <x:c r="F1" s="21" t="str">
        <x:v>Impact</x:v>
      </x:c>
      <x:c r="G1" s="21" t="str">
        <x:v>Status</x:v>
      </x:c>
      <x:c r="H1" s="21" t="str">
        <x:v>Owner</x:v>
      </x:c>
      <x:c r="I1" s="21" t="str">
        <x:v>Target Resolution Date</x:v>
      </x:c>
      <x:c r="J1" s="21" t="str">
        <x:v>Notes</x:v>
      </x:c>
    </x:row>
    <x:row r="2">
      <x:c r="A2" t="str">
        <x:v>DEP-001</x:v>
      </x:c>
      <x:c r="B2" t="str">
        <x:v>CAND-001</x:v>
      </x:c>
      <x:c r="C2" t="str">
        <x:v>CAND-004</x:v>
      </x:c>
      <x:c r="D2" t="str">
        <x:v>Data</x:v>
      </x:c>
      <x:c r="E2" t="str">
        <x:v>Customer data feed required before risk aggregation validation.</x:v>
      </x:c>
      <x:c r="F2" t="str">
        <x:v>High</x:v>
      </x:c>
      <x:c r="G2" t="str">
        <x:v>In Progress</x:v>
      </x:c>
      <x:c r="H2" t="str">
        <x:v>Data Architect</x:v>
      </x:c>
      <x:c r="I2" s="28" t="n">
        <x:v>46249</x:v>
      </x:c>
      <x:c r="J2" t="str"/>
    </x:row>
    <x:row r="3">
      <x:c r="A3" t="str">
        <x:v>DEP-002</x:v>
      </x:c>
      <x:c r="B3" t="str">
        <x:v>CAND-002</x:v>
      </x:c>
      <x:c r="C3" t="str">
        <x:v>CAND-004</x:v>
      </x:c>
      <x:c r="D3" t="str">
        <x:v>Downstream</x:v>
      </x:c>
      <x:c r="E3" t="str">
        <x:v>Finance ledger output impacts risk reporting reconciliation.</x:v>
      </x:c>
      <x:c r="F3" t="str">
        <x:v>Critical</x:v>
      </x:c>
      <x:c r="G3" t="str">
        <x:v>Planned</x:v>
      </x:c>
      <x:c r="H3" t="str">
        <x:v>Test Manager</x:v>
      </x:c>
      <x:c r="I3" s="28" t="n">
        <x:v>46280</x:v>
      </x:c>
      <x:c r="J3" t="str"/>
    </x:row>
    <x:row r="4">
      <x:c r="A4" t="str">
        <x:v>DEP-003</x:v>
      </x:c>
      <x:c r="B4" t="str">
        <x:v>CAND-003</x:v>
      </x:c>
      <x:c r="C4" t="str">
        <x:v>CAND-005</x:v>
      </x:c>
      <x:c r="D4" t="str">
        <x:v>Schedule</x:v>
      </x:c>
      <x:c r="E4" t="str">
        <x:v>Shared reporting window and batch dependency.</x:v>
      </x:c>
      <x:c r="F4" t="str">
        <x:v>Medium</x:v>
      </x:c>
      <x:c r="G4" t="str">
        <x:v>Not Started</x:v>
      </x:c>
      <x:c r="H4" t="str">
        <x:v>Migration Lead</x:v>
      </x:c>
      <x:c r="I4" s="28" t="n">
        <x:v>46234</x:v>
      </x:c>
      <x:c r="J4" t="str"/>
    </x:row>
    <x:row r="5">
      <x:c r="I5" s="28"/>
    </x:row>
    <x:row r="6">
      <x:c r="I6" s="28"/>
    </x:row>
    <x:row r="7">
      <x:c r="I7" s="28"/>
    </x:row>
    <x:row r="8">
      <x:c r="I8" s="28"/>
    </x:row>
    <x:row r="9">
      <x:c r="I9" s="28"/>
    </x:row>
    <x:row r="10">
      <x:c r="I10" s="28"/>
    </x:row>
    <x:row r="11">
      <x:c r="I11" s="28"/>
    </x:row>
    <x:row r="12">
      <x:c r="I12" s="28"/>
    </x:row>
    <x:row r="13">
      <x:c r="I13" s="28"/>
    </x:row>
    <x:row r="14">
      <x:c r="I14" s="28"/>
    </x:row>
    <x:row r="15">
      <x:c r="I15" s="28"/>
    </x:row>
    <x:row r="16">
      <x:c r="I16" s="28"/>
    </x:row>
    <x:row r="17">
      <x:c r="I17" s="28"/>
    </x:row>
    <x:row r="18">
      <x:c r="I18" s="28"/>
    </x:row>
    <x:row r="19">
      <x:c r="I19" s="28"/>
    </x:row>
    <x:row r="20">
      <x:c r="I20" s="28"/>
    </x:row>
    <x:row r="21">
      <x:c r="I21" s="28"/>
    </x:row>
    <x:row r="22">
      <x:c r="I22" s="28"/>
    </x:row>
    <x:row r="23">
      <x:c r="I23" s="28"/>
    </x:row>
    <x:row r="24">
      <x:c r="I24" s="28"/>
    </x:row>
    <x:row r="25">
      <x:c r="I25" s="28"/>
    </x:row>
    <x:row r="26">
      <x:c r="I26" s="28"/>
    </x:row>
    <x:row r="27">
      <x:c r="I27" s="28"/>
    </x:row>
    <x:row r="28">
      <x:c r="I28" s="28"/>
    </x:row>
    <x:row r="29">
      <x:c r="I29" s="28"/>
    </x:row>
    <x:row r="30">
      <x:c r="I30" s="28"/>
    </x:row>
    <x:row r="31">
      <x:c r="I31" s="28"/>
    </x:row>
    <x:row r="32">
      <x:c r="I32" s="28"/>
    </x:row>
    <x:row r="33">
      <x:c r="I33" s="28"/>
    </x:row>
    <x:row r="34">
      <x:c r="I34" s="28"/>
    </x:row>
    <x:row r="35">
      <x:c r="I35" s="28"/>
    </x:row>
    <x:row r="36">
      <x:c r="I36" s="28"/>
    </x:row>
    <x:row r="37">
      <x:c r="I37" s="28"/>
    </x:row>
    <x:row r="38">
      <x:c r="I38" s="28"/>
    </x:row>
    <x:row r="39">
      <x:c r="I39" s="28"/>
    </x:row>
    <x:row r="40">
      <x:c r="I40" s="28"/>
    </x:row>
    <x:row r="41">
      <x:c r="I41" s="28"/>
    </x:row>
    <x:row r="42">
      <x:c r="I42" s="28"/>
    </x:row>
    <x:row r="43">
      <x:c r="I43" s="28"/>
    </x:row>
    <x:row r="44">
      <x:c r="I44" s="28"/>
    </x:row>
    <x:row r="45">
      <x:c r="I45" s="28"/>
    </x:row>
    <x:row r="46">
      <x:c r="I46" s="28"/>
    </x:row>
    <x:row r="47">
      <x:c r="I47" s="28"/>
    </x:row>
    <x:row r="48">
      <x:c r="I48" s="28"/>
    </x:row>
    <x:row r="49">
      <x:c r="I49" s="28"/>
    </x:row>
    <x:row r="50">
      <x:c r="I50" s="28"/>
    </x:row>
    <x:row r="51">
      <x:c r="I51" s="28"/>
    </x:row>
    <x:row r="52">
      <x:c r="I52" s="28"/>
    </x:row>
    <x:row r="53">
      <x:c r="I53" s="28"/>
    </x:row>
    <x:row r="54">
      <x:c r="I54" s="28"/>
    </x:row>
    <x:row r="55">
      <x:c r="I55" s="28"/>
    </x:row>
    <x:row r="56">
      <x:c r="I56" s="28"/>
    </x:row>
    <x:row r="57">
      <x:c r="I57" s="28"/>
    </x:row>
    <x:row r="58">
      <x:c r="I58" s="28"/>
    </x:row>
    <x:row r="59">
      <x:c r="I59" s="28"/>
    </x:row>
    <x:row r="60">
      <x:c r="I60" s="28"/>
    </x:row>
    <x:row r="61">
      <x:c r="I61" s="28"/>
    </x:row>
    <x:row r="62">
      <x:c r="I62" s="28"/>
    </x:row>
    <x:row r="63">
      <x:c r="I63" s="28"/>
    </x:row>
    <x:row r="64">
      <x:c r="I64" s="28"/>
    </x:row>
    <x:row r="65">
      <x:c r="I65" s="28"/>
    </x:row>
    <x:row r="66">
      <x:c r="I66" s="28"/>
    </x:row>
    <x:row r="67">
      <x:c r="I67" s="28"/>
    </x:row>
    <x:row r="68">
      <x:c r="I68" s="28"/>
    </x:row>
    <x:row r="69">
      <x:c r="I69" s="28"/>
    </x:row>
    <x:row r="70">
      <x:c r="I70" s="28"/>
    </x:row>
    <x:row r="71">
      <x:c r="I71" s="28"/>
    </x:row>
    <x:row r="72">
      <x:c r="I72" s="28"/>
    </x:row>
    <x:row r="73">
      <x:c r="I73" s="28"/>
    </x:row>
    <x:row r="74">
      <x:c r="I74" s="28"/>
    </x:row>
    <x:row r="75">
      <x:c r="I75" s="28"/>
    </x:row>
    <x:row r="76">
      <x:c r="I76" s="28"/>
    </x:row>
    <x:row r="77">
      <x:c r="I77" s="28"/>
    </x:row>
    <x:row r="78">
      <x:c r="I78" s="28"/>
    </x:row>
    <x:row r="79">
      <x:c r="I79" s="28"/>
    </x:row>
    <x:row r="80">
      <x:c r="I80" s="28"/>
    </x:row>
    <x:row r="81">
      <x:c r="I81" s="28"/>
    </x:row>
    <x:row r="82">
      <x:c r="I82" s="28"/>
    </x:row>
    <x:row r="83">
      <x:c r="I83" s="28"/>
    </x:row>
    <x:row r="84">
      <x:c r="I84" s="28"/>
    </x:row>
    <x:row r="85">
      <x:c r="I85" s="28"/>
    </x:row>
    <x:row r="86">
      <x:c r="I86" s="28"/>
    </x:row>
    <x:row r="87">
      <x:c r="I87" s="28"/>
    </x:row>
    <x:row r="88">
      <x:c r="I88" s="28"/>
    </x:row>
    <x:row r="89">
      <x:c r="I89" s="28"/>
    </x:row>
    <x:row r="90">
      <x:c r="I90" s="28"/>
    </x:row>
    <x:row r="91">
      <x:c r="I91" s="28"/>
    </x:row>
    <x:row r="92">
      <x:c r="I92" s="28"/>
    </x:row>
    <x:row r="93">
      <x:c r="I93" s="28"/>
    </x:row>
    <x:row r="94">
      <x:c r="I94" s="28"/>
    </x:row>
    <x:row r="95">
      <x:c r="I95" s="28"/>
    </x:row>
    <x:row r="96">
      <x:c r="I96" s="28"/>
    </x:row>
    <x:row r="97">
      <x:c r="I97" s="28"/>
    </x:row>
    <x:row r="98">
      <x:c r="I98" s="28"/>
    </x:row>
    <x:row r="99">
      <x:c r="I99" s="28"/>
    </x:row>
    <x:row r="100">
      <x:c r="I100" s="28"/>
    </x:row>
  </x:sheetData>
  <x:conditionalFormatting sqref="F2:F100">
    <x:cfRule type="expression" dxfId="2" priority="1">
      <x:formula>F2="Critical"</x:formula>
    </x:cfRule>
  </x:conditionalFormatting>
  <x:conditionalFormatting sqref="G2:G100">
    <x:cfRule type="expression" dxfId="3" priority="2">
      <x:formula>G2="Blocked"</x:formula>
    </x:cfRule>
  </x:conditionalFormatting>
  <x:dataValidations count="3">
    <x:dataValidation type="list" sqref="D2:D100">
      <x:formula1>'Reference Lists'!$H$2:$H$9</x:formula1>
    </x:dataValidation>
    <x:dataValidation type="list" sqref="F2:F100">
      <x:formula1>'Reference Lists'!$I$2:$I$5</x:formula1>
    </x:dataValidation>
    <x:dataValidation type="list" sqref="G2:G100">
      <x:formula1>'Reference Lists'!$E$2:$E$7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5d75af98944f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18" hidden="0" customWidth="1"/>
    <x:col min="5" max="5" width="18" hidden="0" customWidth="1"/>
    <x:col min="6" max="6" width="18" hidden="0" customWidth="1"/>
    <x:col min="3" max="3" width="22" hidden="0" customWidth="1"/>
  </x:cols>
  <x:sheetData>
    <x:row r="1" ht="30" customHeight="1">
      <x:c r="A1" s="3" t="str">
        <x:v>DMAF Migration Wave Planning Dashboard</x:v>
      </x:c>
    </x:row>
    <x:row r="3">
      <x:c r="A3" s="21" t="str">
        <x:v>Metric</x:v>
      </x:c>
      <x:c r="B3" s="21" t="str">
        <x:v>Value</x:v>
      </x:c>
      <x:c r="D3" s="21" t="str">
        <x:v>Wave</x:v>
      </x:c>
      <x:c r="E3" s="21" t="str">
        <x:v>Candidate Count</x:v>
      </x:c>
      <x:c r="F3" s="21" t="str">
        <x:v>Effort Days</x:v>
      </x:c>
    </x:row>
    <x:row r="4">
      <x:c r="A4" s="16" t="str">
        <x:v>Total Candidates</x:v>
      </x:c>
      <x:c r="B4" s="30" t="n">
        <x:f>COUNTA(Candidates!$A$2:$A$201)</x:f>
        <x:v>5</x:v>
      </x:c>
      <x:c r="D4" s="16" t="str">
        <x:v>Wave 0</x:v>
      </x:c>
      <x:c r="E4" s="30" t="n">
        <x:f>COUNTIF(Candidates!$P$2:$P$201,D4)</x:f>
        <x:v>0</x:v>
      </x:c>
      <x:c r="F4" s="30" t="n">
        <x:f>SUMIF(Candidates!$P$2:$P$201,D4,Candidates!$L$2:$L$201)</x:f>
        <x:v>0</x:v>
      </x:c>
    </x:row>
    <x:row r="5">
      <x:c r="A5" s="16" t="str">
        <x:v>Assigned Candidates</x:v>
      </x:c>
      <x:c r="B5" s="30" t="n">
        <x:f>COUNTIFS(Candidates!$A$2:$A$201,"&lt;&gt;",Candidates!$P$2:$P$201,"&lt;&gt;Unassigned",Candidates!$P$2:$P$201,"&lt;&gt;")</x:f>
        <x:v>5</x:v>
      </x:c>
      <x:c r="D5" s="16" t="str">
        <x:v>Wave 1</x:v>
      </x:c>
      <x:c r="E5" s="30" t="n">
        <x:f>COUNTIF(Candidates!$P$2:$P$201,D5)</x:f>
        <x:v>3</x:v>
      </x:c>
      <x:c r="F5" s="30" t="n">
        <x:f>SUMIF(Candidates!$P$2:$P$201,D5,Candidates!$L$2:$L$201)</x:f>
        <x:v>42</x:v>
      </x:c>
    </x:row>
    <x:row r="6">
      <x:c r="A6" s="16" t="str">
        <x:v>Unassigned Candidates</x:v>
      </x:c>
      <x:c r="B6" s="30" t="n">
        <x:f>COUNTIF(Candidates!$P$2:$P$201,"Unassigned")</x:f>
        <x:v>0</x:v>
      </x:c>
      <x:c r="D6" s="16" t="str">
        <x:v>Wave 2</x:v>
      </x:c>
      <x:c r="E6" s="30" t="n">
        <x:f>COUNTIF(Candidates!$P$2:$P$201,D6)</x:f>
        <x:v>1</x:v>
      </x:c>
      <x:c r="F6" s="30" t="n">
        <x:f>SUMIF(Candidates!$P$2:$P$201,D6,Candidates!$L$2:$L$201)</x:f>
        <x:v>32</x:v>
      </x:c>
    </x:row>
    <x:row r="7">
      <x:c r="A7" s="16" t="str">
        <x:v>Total Estimated Effort Days</x:v>
      </x:c>
      <x:c r="B7" s="30" t="n">
        <x:f>SUM(Candidates!$L$2:$L$201)</x:f>
        <x:v>119</x:v>
      </x:c>
      <x:c r="D7" s="16" t="str">
        <x:v>Wave 3</x:v>
      </x:c>
      <x:c r="E7" s="30" t="n">
        <x:f>COUNTIF(Candidates!$P$2:$P$201,D7)</x:f>
        <x:v>1</x:v>
      </x:c>
      <x:c r="F7" s="30" t="n">
        <x:f>SUMIF(Candidates!$P$2:$P$201,D7,Candidates!$L$2:$L$201)</x:f>
        <x:v>45</x:v>
      </x:c>
    </x:row>
    <x:row r="8">
      <x:c r="A8" s="16" t="str">
        <x:v>Average Composite Score</x:v>
      </x:c>
      <x:c r="B8" s="30" t="n">
        <x:f>IFERROR(AVERAGEIF(Candidates!$A$2:$A$201,"&lt;&gt;",Candidates!$M$2:$M$201),0)</x:f>
        <x:v>3.37</x:v>
      </x:c>
      <x:c r="D8" s="16" t="str">
        <x:v>Wave 4</x:v>
      </x:c>
      <x:c r="E8" s="30" t="n">
        <x:f>COUNTIF(Candidates!$P$2:$P$201,D8)</x:f>
        <x:v>0</x:v>
      </x:c>
      <x:c r="F8" s="30" t="n">
        <x:f>SUMIF(Candidates!$P$2:$P$201,D8,Candidates!$L$2:$L$201)</x:f>
        <x:v>0</x:v>
      </x:c>
    </x:row>
    <x:row r="9">
      <x:c r="A9" s="16" t="str">
        <x:v>High / Very High Candidates</x:v>
      </x:c>
      <x:c r="B9" s="30" t="n">
        <x:f>COUNTIF(Candidates!$N$2:$N$201,"High")+COUNTIF(Candidates!$N$2:$N$201,"Very High")</x:f>
        <x:v>3</x:v>
      </x:c>
      <x:c r="D9" s="16" t="str">
        <x:v>Unassigned</x:v>
      </x:c>
      <x:c r="E9" s="30" t="n">
        <x:f>COUNTIF(Candidates!$P$2:$P$201,D9)</x:f>
        <x:v>0</x:v>
      </x:c>
      <x:c r="F9" s="30" t="n">
        <x:f>SUMIF(Candidates!$P$2:$P$201,D9,Candidates!$L$2:$L$201)</x:f>
        <x:v>0</x:v>
      </x:c>
    </x:row>
    <x:row r="10">
      <x:c r="A10" s="16" t="str">
        <x:v>Open Critical Dependencies</x:v>
      </x:c>
      <x:c r="B10" s="30" t="n">
        <x:f>COUNTIFS(Dependencies!$F$2:$F$100,"Critical",Dependencies!$G$2:$G$100,"&lt;&gt;Complete")</x:f>
        <x:v>1</x:v>
      </x:c>
    </x:row>
    <x:row r="12">
      <x:c r="A12" s="21" t="str">
        <x:v>Complexity Band</x:v>
      </x:c>
      <x:c r="B12" s="21" t="str">
        <x:v>Count</x:v>
      </x:c>
      <x:c r="C12" s="21" t="str">
        <x:v>Effort Days</x:v>
      </x:c>
    </x:row>
    <x:row r="13">
      <x:c r="A13" s="16" t="str">
        <x:v>Low</x:v>
      </x:c>
      <x:c r="B13" s="30" t="n">
        <x:f>COUNTIF(Candidates!$N$2:$N$201,A13)</x:f>
        <x:v>0</x:v>
      </x:c>
      <x:c r="C13" s="30" t="n">
        <x:f>SUMIF(Candidates!$N$2:$N$201,A13,Candidates!$L$2:$L$201)</x:f>
        <x:v>0</x:v>
      </x:c>
    </x:row>
    <x:row r="14">
      <x:c r="A14" s="16" t="str">
        <x:v>Medium</x:v>
      </x:c>
      <x:c r="B14" s="30" t="n">
        <x:f>COUNTIF(Candidates!$N$2:$N$201,A14)</x:f>
        <x:v>2</x:v>
      </x:c>
      <x:c r="C14" s="30" t="n">
        <x:f>SUMIF(Candidates!$N$2:$N$201,A14,Candidates!$L$2:$L$201)</x:f>
        <x:v>22</x:v>
      </x:c>
    </x:row>
    <x:row r="15">
      <x:c r="A15" s="16" t="str">
        <x:v>High</x:v>
      </x:c>
      <x:c r="B15" s="30" t="n">
        <x:f>COUNTIF(Candidates!$N$2:$N$201,A15)</x:f>
        <x:v>2</x:v>
      </x:c>
      <x:c r="C15" s="30" t="n">
        <x:f>SUMIF(Candidates!$N$2:$N$201,A15,Candidates!$L$2:$L$201)</x:f>
        <x:v>52</x:v>
      </x:c>
    </x:row>
    <x:row r="16">
      <x:c r="A16" s="16" t="str">
        <x:v>Very High</x:v>
      </x:c>
      <x:c r="B16" s="30" t="n">
        <x:f>COUNTIF(Candidates!$N$2:$N$201,A16)</x:f>
        <x:v>1</x:v>
      </x:c>
      <x:c r="C16" s="30" t="n">
        <x:f>SUMIF(Candidates!$N$2:$N$201,A16,Candidates!$L$2:$L$201)</x:f>
        <x:v>45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cc96d6f8caf4d0a"/>
  <x:tableParts count="3">
    <x:tablePart xmlns:r="http://schemas.openxmlformats.org/officeDocument/2006/relationships" r:id="R5e6d1a48065b49c0"/>
    <x:tablePart xmlns:r="http://schemas.openxmlformats.org/officeDocument/2006/relationships" r:id="R0961618ac8364763"/>
    <x:tablePart xmlns:r="http://schemas.openxmlformats.org/officeDocument/2006/relationships" r:id="Rd15a1eb91ff442a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21" t="str">
        <x:v>Source Platform</x:v>
      </x:c>
      <x:c r="B1" s="21" t="str">
        <x:v>Score</x:v>
      </x:c>
      <x:c r="C1" s="21" t="str">
        <x:v>Business Criticality</x:v>
      </x:c>
      <x:c r="D1" s="21" t="str">
        <x:v>Yes/No</x:v>
      </x:c>
      <x:c r="E1" s="21" t="str">
        <x:v>Status</x:v>
      </x:c>
      <x:c r="F1" s="21" t="str">
        <x:v>Wave</x:v>
      </x:c>
      <x:c r="G1" s="21" t="str">
        <x:v>Complexity Band</x:v>
      </x:c>
      <x:c r="H1" s="21" t="str">
        <x:v>Dependency Type</x:v>
      </x:c>
      <x:c r="I1" s="21" t="str">
        <x:v>Impact</x:v>
      </x:c>
      <x:c r="J1" s="21" t="str">
        <x:v>Role</x:v>
      </x:c>
    </x:row>
    <x:row r="2">
      <x:c r="A2" t="str">
        <x:v>Informatica</x:v>
      </x:c>
      <x:c r="B2" t="n">
        <x:v>1</x:v>
      </x:c>
      <x:c r="C2" t="str">
        <x:v>Low</x:v>
      </x:c>
      <x:c r="D2" t="str">
        <x:v>Yes</x:v>
      </x:c>
      <x:c r="E2" t="str">
        <x:v>Not Started</x:v>
      </x:c>
      <x:c r="F2" t="str">
        <x:v>Wave 0</x:v>
      </x:c>
      <x:c r="G2" t="str">
        <x:v>Low</x:v>
      </x:c>
      <x:c r="H2" t="str">
        <x:v>Data</x:v>
      </x:c>
      <x:c r="I2" t="str">
        <x:v>Low</x:v>
      </x:c>
      <x:c r="J2" t="str">
        <x:v>Engagement Lead</x:v>
      </x:c>
    </x:row>
    <x:row r="3">
      <x:c r="A3" t="str">
        <x:v>Mainframe</x:v>
      </x:c>
      <x:c r="B3" t="n">
        <x:v>2</x:v>
      </x:c>
      <x:c r="C3" t="str">
        <x:v>Medium</x:v>
      </x:c>
      <x:c r="D3" t="str">
        <x:v>No</x:v>
      </x:c>
      <x:c r="E3" t="str">
        <x:v>Planned</x:v>
      </x:c>
      <x:c r="F3" t="str">
        <x:v>Wave 1</x:v>
      </x:c>
      <x:c r="G3" t="str">
        <x:v>Medium</x:v>
      </x:c>
      <x:c r="H3" t="str">
        <x:v>Application</x:v>
      </x:c>
      <x:c r="I3" t="str">
        <x:v>Medium</x:v>
      </x:c>
      <x:c r="J3" t="str">
        <x:v>Solution Architect</x:v>
      </x:c>
    </x:row>
    <x:row r="4">
      <x:c r="A4" t="str">
        <x:v>SSIS</x:v>
      </x:c>
      <x:c r="B4" t="n">
        <x:v>3</x:v>
      </x:c>
      <x:c r="C4" t="str">
        <x:v>High</x:v>
      </x:c>
      <x:c r="D4" t="str">
        <x:v>Unknown</x:v>
      </x:c>
      <x:c r="E4" t="str">
        <x:v>In Progress</x:v>
      </x:c>
      <x:c r="F4" t="str">
        <x:v>Wave 2</x:v>
      </x:c>
      <x:c r="G4" t="str">
        <x:v>High</x:v>
      </x:c>
      <x:c r="H4" t="str">
        <x:v>Schedule</x:v>
      </x:c>
      <x:c r="I4" t="str">
        <x:v>High</x:v>
      </x:c>
      <x:c r="J4" t="str">
        <x:v>Data Architect</x:v>
      </x:c>
    </x:row>
    <x:row r="5">
      <x:c r="A5" t="str">
        <x:v>DataStage</x:v>
      </x:c>
      <x:c r="B5" t="n">
        <x:v>4</x:v>
      </x:c>
      <x:c r="C5" t="str">
        <x:v>Critical</x:v>
      </x:c>
      <x:c r="D5"/>
      <x:c r="E5" t="str">
        <x:v>Blocked</x:v>
      </x:c>
      <x:c r="F5" t="str">
        <x:v>Wave 3</x:v>
      </x:c>
      <x:c r="G5" t="str">
        <x:v>Very High</x:v>
      </x:c>
      <x:c r="H5" t="str">
        <x:v>Environment</x:v>
      </x:c>
      <x:c r="I5" t="str">
        <x:v>Critical</x:v>
      </x:c>
      <x:c r="J5" t="str">
        <x:v>Migration Lead</x:v>
      </x:c>
    </x:row>
    <x:row r="6">
      <x:c r="A6" t="str">
        <x:v>Hadoop</x:v>
      </x:c>
      <x:c r="B6" t="n">
        <x:v>5</x:v>
      </x:c>
      <x:c r="C6"/>
      <x:c r="D6"/>
      <x:c r="E6" t="str">
        <x:v>Complete</x:v>
      </x:c>
      <x:c r="F6" t="str">
        <x:v>Wave 4</x:v>
      </x:c>
      <x:c r="G6"/>
      <x:c r="H6" t="str">
        <x:v>Downstream</x:v>
      </x:c>
      <x:c r="I6"/>
      <x:c r="J6" t="str">
        <x:v>Developer</x:v>
      </x:c>
    </x:row>
    <x:row r="7">
      <x:c r="A7" t="str">
        <x:v>Teradata</x:v>
      </x:c>
      <x:c r="B7"/>
      <x:c r="C7"/>
      <x:c r="D7"/>
      <x:c r="E7" t="str">
        <x:v>Deferred</x:v>
      </x:c>
      <x:c r="F7" t="str">
        <x:v>Wave 5</x:v>
      </x:c>
      <x:c r="G7"/>
      <x:c r="H7" t="str">
        <x:v>SME</x:v>
      </x:c>
      <x:c r="I7"/>
      <x:c r="J7" t="str">
        <x:v>QA Analyst</x:v>
      </x:c>
    </x:row>
    <x:row r="8">
      <x:c r="A8" t="str">
        <x:v>Oracle ETL</x:v>
      </x:c>
      <x:c r="B8"/>
      <x:c r="C8"/>
      <x:c r="D8"/>
      <x:c r="E8"/>
      <x:c r="F8" t="str">
        <x:v>Unassigned</x:v>
      </x:c>
      <x:c r="G8"/>
      <x:c r="H8" t="str">
        <x:v>Validation</x:v>
      </x:c>
      <x:c r="I8"/>
      <x:c r="J8" t="str">
        <x:v>Platform Lead</x:v>
      </x:c>
    </x:row>
    <x:row r="9">
      <x:c r="A9" t="str">
        <x:v>Custom SQL</x:v>
      </x:c>
      <x:c r="B9"/>
      <x:c r="C9"/>
      <x:c r="D9"/>
      <x:c r="E9"/>
      <x:c r="F9"/>
      <x:c r="G9"/>
      <x:c r="H9" t="str">
        <x:v>Other</x:v>
      </x:c>
      <x:c r="I9"/>
      <x:c r="J9" t="str">
        <x:v>SME</x:v>
      </x:c>
    </x:row>
    <x:row r="10">
      <x:c r="A10" t="str">
        <x:v>Other</x:v>
      </x:c>
      <x:c r="B10"/>
      <x:c r="C10"/>
      <x:c r="D10"/>
      <x:c r="E10"/>
      <x:c r="F10"/>
      <x:c r="G10"/>
      <x:c r="H10"/>
      <x:c r="I10"/>
      <x:c r="J10"/>
    </x:row>
  </x:sheetData>
  <x:pageMargins left="0.7" right="0.7" top="0.75" bottom="0.75" header="0.3" footer="0.3"/>
  <x:tableParts count="1">
    <x:tablePart xmlns:r="http://schemas.openxmlformats.org/officeDocument/2006/relationships" r:id="R4095fc6b219140f5"/>
  </x:tableParts>
</x:worksheet>
</file>