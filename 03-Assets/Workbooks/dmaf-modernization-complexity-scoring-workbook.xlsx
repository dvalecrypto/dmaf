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3b105ee60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27590af6494fa6"/>
    <x:sheet xmlns:r="http://schemas.openxmlformats.org/officeDocument/2006/relationships" name="Scoring Model" sheetId="2" r:id="R2d7eedb918644c79"/>
    <x:sheet xmlns:r="http://schemas.openxmlformats.org/officeDocument/2006/relationships" name="Candidate Scoring" sheetId="3" r:id="Rad60e137ec684c50"/>
    <x:sheet xmlns:r="http://schemas.openxmlformats.org/officeDocument/2006/relationships" name="Dashboard" sheetId="4" r:id="R52a0198df7fe41bb"/>
    <x:sheet xmlns:r="http://schemas.openxmlformats.org/officeDocument/2006/relationships" name="Reference Lists" sheetId="5" r:id="R54640a455587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horizontal="left"/>
    </x:xf>
    <x:xf numFmtId="200" fontId="2" fillId="3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cf20ca96b4851" /><Relationship Type="http://schemas.openxmlformats.org/officeDocument/2006/relationships/theme" Target="/xl/theme/theme1.xml" Id="R89f14d0e9fe2483d" /><Relationship Type="http://schemas.openxmlformats.org/officeDocument/2006/relationships/sharedStrings" Target="/xl/sharedStrings.xml" Id="R86ef495a144448ba" /><Relationship Type="http://schemas.openxmlformats.org/officeDocument/2006/relationships/worksheet" Target="/xl/worksheets/sheet1.xml" Id="R9f27590af6494fa6" /><Relationship Type="http://schemas.openxmlformats.org/officeDocument/2006/relationships/worksheet" Target="/xl/worksheets/sheet2.xml" Id="R2d7eedb918644c79" /><Relationship Type="http://schemas.openxmlformats.org/officeDocument/2006/relationships/worksheet" Target="/xl/worksheets/sheet3.xml" Id="Rad60e137ec684c50" /><Relationship Type="http://schemas.openxmlformats.org/officeDocument/2006/relationships/worksheet" Target="/xl/worksheets/sheet4.xml" Id="R52a0198df7fe41bb" /><Relationship Type="http://schemas.openxmlformats.org/officeDocument/2006/relationships/worksheet" Target="/xl/worksheets/sheet5.xml" Id="R54640a4555874a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a3dbe6bded4eb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3dbe6bded4e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oringCriteriaTable" displayName="ScoringCriteriaTable" ref="A3:I12" headerRowCount="1">
  <x:tableColumns count="9">
    <x:tableColumn id="1" name="Criterion ID"/>
    <x:tableColumn id="2" name="Criterion"/>
    <x:tableColumn id="3" name="Category"/>
    <x:tableColumn id="4" name="Weight"/>
    <x:tableColumn id="5" name="Low Score Guidance (1)"/>
    <x:tableColumn id="6" name="Medium Score Guidance (3)"/>
    <x:tableColumn id="7" name="High Score Guidance (5)"/>
    <x:tableColumn id="8" name="Typical Evidenc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lexityBandTable" displayName="ComplexityBandTable" ref="A17:D21" headerRowCount="1">
  <x:tableColumns count="4">
    <x:tableColumn id="1" name="Band"/>
    <x:tableColumn id="2" name="Minimum Score"/>
    <x:tableColumn id="3" name="Maximum Score"/>
    <x:tableColumn id="4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CandidateScoringTable" displayName="CandidateScoringTable" ref="A1:S101" headerRowCount="1">
  <x:tableColumns count="19">
    <x:tableColumn id="1" name="Candidate ID"/>
    <x:tableColumn id="2" name="Application / Workflow"/>
    <x:tableColumn id="3" name="Source Platform"/>
    <x:tableColumn id="4" name="Business Owner"/>
    <x:tableColumn id="5" name="Migration Driver"/>
    <x:tableColumn id="6" name="Business Criticality"/>
    <x:tableColumn id="7" name="Dependency Complexity"/>
    <x:tableColumn id="8" name="Transformation Complexity"/>
    <x:tableColumn id="9" name="Data Volume / Performance"/>
    <x:tableColumn id="10" name="Data Quality / Source Risk"/>
    <x:tableColumn id="11" name="Validation / Reconciliation"/>
    <x:tableColumn id="12" name="Coexistence / Parallel Run"/>
    <x:tableColumn id="13" name="Platform / Technology"/>
    <x:tableColumn id="14" name="SME / Documentation Readiness"/>
    <x:tableColumn id="15" name="Weighted Complexity Score"/>
    <x:tableColumn id="16" name="Complexity Band"/>
    <x:tableColumn id="17" name="Readiness Confidence"/>
    <x:tableColumn id="18" name="Priority Recommendation"/>
    <x:tableColumn id="19" name="Scor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f40e1a6cd64321" /><Relationship Type="http://schemas.openxmlformats.org/officeDocument/2006/relationships/table" Target="/xl/tables/table2.xml" Id="R70aa5df55455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0da7936e41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f6ab9e8a22f45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DMAF Modernization Complexity Scoring Workbook</x:v>
      </x:c>
    </x:row>
    <x:row r="3">
      <x:c r="A3" s="10" t="str">
        <x:v>Purpose</x:v>
      </x:c>
    </x:row>
    <x:row r="4">
      <x:c r="A4" s="14" t="str">
        <x:v>This workbook provides a repeatable scoring model for assessing modernization complexity across applications, workflows, pipelines, and data platform workloads.</x:v>
      </x:c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14" t="str">
        <x:v>It supports DMAF-CAP-DAS-005 — Modernization Complexity Scoring and feeds Migration Factory planning, wave sequencing, estimation, and risk review.</x:v>
      </x:c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14" t="str">
        <x:v>Use the Candidate Scoring sheet to score each modernization candidate from 1 to 5 across approved complexity dimensions.</x:v>
      </x:c>
      <x:c r="B6" s="14" t="str"/>
      <x:c r="C6" s="14" t="str"/>
      <x:c r="D6" s="14" t="str"/>
      <x:c r="E6" s="14" t="str"/>
      <x:c r="F6" s="14" t="str"/>
      <x:c r="G6" s="14" t="str"/>
      <x:c r="H6" s="14" t="str"/>
    </x:row>
    <x:row r="7">
      <x:c r="A7" s="14" t="str">
        <x:v>Review the Dashboard sheet for summary counts, average score, and complexity band distribution.</x:v>
      </x:c>
      <x:c r="B7" s="14" t="str"/>
      <x:c r="C7" s="14" t="str"/>
      <x:c r="D7" s="14" t="str"/>
      <x:c r="E7" s="14" t="str"/>
      <x:c r="F7" s="14" t="str"/>
      <x:c r="G7" s="14" t="str"/>
      <x:c r="H7" s="14" t="str"/>
    </x:row>
    <x:row r="9">
      <x:c r="A9" s="10" t="str">
        <x:v>How to Use</x:v>
      </x:c>
    </x:row>
    <x:row r="10">
      <x:c r="A10" s="20" t="str">
        <x:v>1</x:v>
      </x:c>
      <x:c r="B10" s="26" t="str">
        <x:v>Confirm candidate inventory</x:v>
      </x:c>
      <x:c r="C10" s="14" t="str">
        <x:v>List applications, workflows, or workloads in Candidate Scoring.</x:v>
      </x:c>
      <x:c r="D10" t="str"/>
      <x:c r="E10" t="str"/>
      <x:c r="F10" t="str"/>
      <x:c r="G10" t="str"/>
      <x:c r="H10" t="str"/>
    </x:row>
    <x:row r="11">
      <x:c r="A11" s="20" t="str">
        <x:v>2</x:v>
      </x:c>
      <x:c r="B11" s="26" t="str">
        <x:v>Score each criterion</x:v>
      </x:c>
      <x:c r="C11" s="14" t="str">
        <x:v>Use a 1 to 5 score. 1 means lower complexity; 5 means higher complexity.</x:v>
      </x:c>
      <x:c r="D11" t="str"/>
      <x:c r="E11" t="str"/>
      <x:c r="F11" t="str"/>
      <x:c r="G11" t="str"/>
      <x:c r="H11" t="str"/>
    </x:row>
    <x:row r="12">
      <x:c r="A12" s="20" t="str">
        <x:v>3</x:v>
      </x:c>
      <x:c r="B12" s="26" t="str">
        <x:v>Review weighted score</x:v>
      </x:c>
      <x:c r="C12" s="14" t="str">
        <x:v>Weighted Complexity Score is calculated automatically from the Scoring Model weights.</x:v>
      </x:c>
      <x:c r="D12" t="str"/>
      <x:c r="E12" t="str"/>
      <x:c r="F12" t="str"/>
      <x:c r="G12" t="str"/>
      <x:c r="H12" t="str"/>
    </x:row>
    <x:row r="13">
      <x:c r="A13" s="20" t="str">
        <x:v>4</x:v>
      </x:c>
      <x:c r="B13" s="26" t="str">
        <x:v>Review complexity band</x:v>
      </x:c>
      <x:c r="C13" s="14" t="str">
        <x:v>Bands are assigned automatically as Low, Medium, High, or Very High.</x:v>
      </x:c>
      <x:c r="D13" t="str"/>
      <x:c r="E13" t="str"/>
      <x:c r="F13" t="str"/>
      <x:c r="G13" t="str"/>
      <x:c r="H13" t="str"/>
    </x:row>
    <x:row r="14">
      <x:c r="A14" s="20" t="str">
        <x:v>5</x:v>
      </x:c>
      <x:c r="B14" s="26" t="str">
        <x:v>Interpret readiness</x:v>
      </x:c>
      <x:c r="C14" s="14" t="str">
        <x:v>Readiness Confidence is a manual assessment. Use it to flag low-confidence scores.</x:v>
      </x:c>
      <x:c r="D14" t="str"/>
      <x:c r="E14" t="str"/>
      <x:c r="F14" t="str"/>
      <x:c r="G14" t="str"/>
      <x:c r="H14" t="str"/>
    </x:row>
    <x:row r="15">
      <x:c r="A15" s="20" t="str">
        <x:v>6</x:v>
      </x:c>
      <x:c r="B15" s="26" t="str">
        <x:v>Use in wave planning</x:v>
      </x:c>
      <x:c r="C15" s="14" t="str">
        <x:v>Prioritize candidates based on complexity, business criticality, dependencies, and readiness.</x:v>
      </x:c>
      <x:c r="D15" t="str"/>
      <x:c r="E15" t="str"/>
      <x:c r="F15" t="str"/>
      <x:c r="G15" t="str"/>
      <x:c r="H15" t="str"/>
    </x:row>
    <x:row r="16">
      <x:c r="A16" s="20" t="str">
        <x:v>7</x:v>
      </x:c>
      <x:c r="B16" s="26" t="str">
        <x:v>Preserve assumptions</x:v>
      </x:c>
      <x:c r="C16" s="14" t="str">
        <x:v>Document notes and scoring rationale for later governance review.</x:v>
      </x:c>
      <x:c r="D16" t="str"/>
      <x:c r="E16" t="str"/>
      <x:c r="F16" t="str"/>
      <x:c r="G16" t="str"/>
      <x:c r="H16" t="str"/>
    </x:row>
    <x:row r="18">
      <x:c r="A18" s="10" t="str">
        <x:v>DMAF Traceability</x:v>
      </x:c>
    </x:row>
    <x:row r="19">
      <x:c r="A19" s="20" t="str">
        <x:v>Asset ID</x:v>
      </x:c>
      <x:c r="B19" s="14" t="str">
        <x:v>DMAF-ASSET-WBK-002</x:v>
      </x:c>
    </x:row>
    <x:row r="20">
      <x:c r="A20" s="20" t="str">
        <x:v>Asset Type</x:v>
      </x:c>
      <x:c r="B20" s="14" t="str">
        <x:v>Workbook</x:v>
      </x:c>
    </x:row>
    <x:row r="21">
      <x:c r="A21" s="20" t="str">
        <x:v>Practice Domain</x:v>
      </x:c>
      <x:c r="B21" s="14" t="str">
        <x:v>Discovery &amp; Assessment</x:v>
      </x:c>
    </x:row>
    <x:row r="22">
      <x:c r="A22" s="20" t="str">
        <x:v>Capability</x:v>
      </x:c>
      <x:c r="B22" s="14" t="str">
        <x:v>DMAF-CAP-DAS-005 — Modernization Complexity Scoring</x:v>
      </x:c>
    </x:row>
    <x:row r="23">
      <x:c r="A23" s="20" t="str">
        <x:v>Lifecycle Stages</x:v>
      </x:c>
      <x:c r="B23" s="14" t="str">
        <x:v>Discovery &amp; Assessment; Migration Factory Planning</x:v>
      </x:c>
    </x:row>
    <x:row r="24">
      <x:c r="A24" s="20" t="str">
        <x:v>Primary Users</x:v>
      </x:c>
      <x:c r="B24" s="14" t="str">
        <x:v>Lead Business Analyst; Solution Architect; Migration Lead</x:v>
      </x:c>
    </x:row>
    <x:row r="25">
      <x:c r="A25" s="20" t="str">
        <x:v>Output Feeds</x:v>
      </x:c>
      <x:c r="B25" s="14" t="str">
        <x:v>Migration Wave Planning Workbook; Migration Estimation Workbook</x:v>
      </x:c>
    </x:row>
    <x:row r="26">
      <x:c r="A26" s="20" t="str">
        <x:v>Release</x:v>
      </x:c>
      <x:c r="B26" s="14" t="str">
        <x:v>Release-2.0</x:v>
      </x:c>
    </x:row>
  </x:sheetData>
  <x:mergeCells>
    <x:mergeCell ref="A1:H1"/>
    <x:mergeCell ref="A3:H3"/>
    <x:mergeCell ref="A9:H9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.380000114440918" hidden="0" customWidth="1"/>
    <x:col min="4" max="4" width="72.75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24" hidden="0" customWidth="1"/>
  </x:cols>
  <x:sheetData>
    <x:row r="1">
      <x:c r="A1" s="4" t="str">
        <x:v>DMAF Modernization Complexity Scoring Model</x:v>
      </x:c>
    </x:row>
    <x:row r="3">
      <x:c r="A3" s="31" t="str">
        <x:v>Criterion ID</x:v>
      </x:c>
      <x:c r="B3" s="31" t="str">
        <x:v>Criterion</x:v>
      </x:c>
      <x:c r="C3" s="31" t="str">
        <x:v>Category</x:v>
      </x:c>
      <x:c r="D3" s="31" t="str">
        <x:v>Weight</x:v>
      </x:c>
      <x:c r="E3" s="31" t="str">
        <x:v>Low Score Guidance (1)</x:v>
      </x:c>
      <x:c r="F3" s="31" t="str">
        <x:v>Medium Score Guidance (3)</x:v>
      </x:c>
      <x:c r="G3" s="31" t="str">
        <x:v>High Score Guidance (5)</x:v>
      </x:c>
      <x:c r="H3" s="31" t="str">
        <x:v>Typical Evidence</x:v>
      </x:c>
      <x:c r="I3" s="31" t="str">
        <x:v>Notes</x:v>
      </x:c>
    </x:row>
    <x:row r="4">
      <x:c r="A4" t="str">
        <x:v>CRIT-001</x:v>
      </x:c>
      <x:c r="B4" t="str">
        <x:v>Business Criticality</x:v>
      </x:c>
      <x:c r="C4" t="str">
        <x:v>Business</x:v>
      </x:c>
      <x:c r="D4" s="36" t="n">
        <x:v>0.1</x:v>
      </x:c>
      <x:c r="E4" s="14" t="str">
        <x:v>Low business impact; non-critical workload</x:v>
      </x:c>
      <x:c r="F4" s="14" t="str">
        <x:v>Important but not business critical</x:v>
      </x:c>
      <x:c r="G4" s="14" t="str">
        <x:v>Mission-critical, customer-facing, regulatory, or close process impact</x:v>
      </x:c>
      <x:c r="H4" s="14" t="str">
        <x:v>Business owner input; app criticality; operational impact</x:v>
      </x:c>
      <x:c r="I4" s="14" t="str"/>
    </x:row>
    <x:row r="5">
      <x:c r="A5" t="str">
        <x:v>CRIT-002</x:v>
      </x:c>
      <x:c r="B5" t="str">
        <x:v>Dependency Complexity</x:v>
      </x:c>
      <x:c r="C5" t="str">
        <x:v>Technical</x:v>
      </x:c>
      <x:c r="D5" s="36" t="n">
        <x:v>0.15</x:v>
      </x:c>
      <x:c r="E5" s="14" t="str">
        <x:v>Few known dependencies</x:v>
      </x:c>
      <x:c r="F5" s="14" t="str">
        <x:v>Several upstream/downstream dependencies</x:v>
      </x:c>
      <x:c r="G5" s="14" t="str">
        <x:v>Many dependencies, shared files, downstream consumers, or timing constraints</x:v>
      </x:c>
      <x:c r="H5" s="14" t="str">
        <x:v>Dependency map; source-target matrix; interface inventory</x:v>
      </x:c>
      <x:c r="I5" s="14" t="str"/>
    </x:row>
    <x:row r="6">
      <x:c r="A6" t="str">
        <x:v>CRIT-003</x:v>
      </x:c>
      <x:c r="B6" t="str">
        <x:v>Transformation Complexity</x:v>
      </x:c>
      <x:c r="C6" t="str">
        <x:v>Technical</x:v>
      </x:c>
      <x:c r="D6" s="36" t="n">
        <x:v>0.15</x:v>
      </x:c>
      <x:c r="E6" s="14" t="str">
        <x:v>Simple movement or light transformation</x:v>
      </x:c>
      <x:c r="F6" s="14" t="str">
        <x:v>Moderate transformation logic</x:v>
      </x:c>
      <x:c r="G6" s="14" t="str">
        <x:v>Complex business rules, joins, aggregations, enrichment, or legacy logic</x:v>
      </x:c>
      <x:c r="H6" s="14" t="str">
        <x:v>ETL mappings; SQL; code review; SME input</x:v>
      </x:c>
      <x:c r="I6" s="14" t="str"/>
    </x:row>
    <x:row r="7">
      <x:c r="A7" t="str">
        <x:v>CRIT-004</x:v>
      </x:c>
      <x:c r="B7" t="str">
        <x:v>Data Volume / Performance</x:v>
      </x:c>
      <x:c r="C7" t="str">
        <x:v>Technical</x:v>
      </x:c>
      <x:c r="D7" s="36" t="n">
        <x:v>0.1</x:v>
      </x:c>
      <x:c r="E7" s="14" t="str">
        <x:v>Small data volumes and flexible windows</x:v>
      </x:c>
      <x:c r="F7" s="14" t="str">
        <x:v>Moderate volumes or batch windows</x:v>
      </x:c>
      <x:c r="G7" s="14" t="str">
        <x:v>Large volumes, tight batch windows, performance sensitivity</x:v>
      </x:c>
      <x:c r="H7" s="14" t="str">
        <x:v>Table/file sizes; job duration; SLA</x:v>
      </x:c>
      <x:c r="I7" s="14" t="str"/>
    </x:row>
    <x:row r="8">
      <x:c r="A8" t="str">
        <x:v>CRIT-005</x:v>
      </x:c>
      <x:c r="B8" t="str">
        <x:v>Data Quality / Source Risk</x:v>
      </x:c>
      <x:c r="C8" t="str">
        <x:v>Risk</x:v>
      </x:c>
      <x:c r="D8" s="36" t="n">
        <x:v>0.1</x:v>
      </x:c>
      <x:c r="E8" s="14" t="str">
        <x:v>Stable source, trusted data</x:v>
      </x:c>
      <x:c r="F8" s="14" t="str">
        <x:v>Known issues but manageable</x:v>
      </x:c>
      <x:c r="G8" s="14" t="str">
        <x:v>Untrusted source data, inconsistent formats, poor documentation, remediation needed</x:v>
      </x:c>
      <x:c r="H8" s="14" t="str">
        <x:v>Data quality reports; production issues; SME notes</x:v>
      </x:c>
      <x:c r="I8" s="14" t="str"/>
    </x:row>
    <x:row r="9">
      <x:c r="A9" t="str">
        <x:v>CRIT-006</x:v>
      </x:c>
      <x:c r="B9" t="str">
        <x:v>Validation / Reconciliation Complexity</x:v>
      </x:c>
      <x:c r="C9" t="str">
        <x:v>Validation</x:v>
      </x:c>
      <x:c r="D9" s="36" t="n">
        <x:v>0.15</x:v>
      </x:c>
      <x:c r="E9" s="14" t="str">
        <x:v>Simple record counts or sample validation</x:v>
      </x:c>
      <x:c r="F9" s="14" t="str">
        <x:v>Multiple checks and business rules</x:v>
      </x:c>
      <x:c r="G9" s="14" t="str">
        <x:v>Detailed reconciliation, control totals, audit evidence, parallel run expectations</x:v>
      </x:c>
      <x:c r="H9" s="14" t="str">
        <x:v>Validation requirements; audit needs; business sign-off criteria</x:v>
      </x:c>
      <x:c r="I9" s="14" t="str"/>
    </x:row>
    <x:row r="10">
      <x:c r="A10" t="str">
        <x:v>CRIT-007</x:v>
      </x:c>
      <x:c r="B10" t="str">
        <x:v>Coexistence / Parallel Run Need</x:v>
      </x:c>
      <x:c r="C10" t="str">
        <x:v>Transition</x:v>
      </x:c>
      <x:c r="D10" s="36" t="n">
        <x:v>0.1</x:v>
      </x:c>
      <x:c r="E10" s="14" t="str">
        <x:v>Clean cutover possible</x:v>
      </x:c>
      <x:c r="F10" s="14" t="str">
        <x:v>Limited coexistence needed</x:v>
      </x:c>
      <x:c r="G10" s="14" t="str">
        <x:v>Extended coexistence, parallel run constraints, dual processing, or downstream synchronization</x:v>
      </x:c>
      <x:c r="H10" s="14" t="str">
        <x:v>Coexistence plan; environment constraints; downstream needs</x:v>
      </x:c>
      <x:c r="I10" s="14" t="str"/>
    </x:row>
    <x:row r="11">
      <x:c r="A11" t="str">
        <x:v>CRIT-008</x:v>
      </x:c>
      <x:c r="B11" t="str">
        <x:v>Platform / Technology Complexity</x:v>
      </x:c>
      <x:c r="C11" t="str">
        <x:v>Technology</x:v>
      </x:c>
      <x:c r="D11" s="36" t="n">
        <x:v>0.1</x:v>
      </x:c>
      <x:c r="E11" s="14" t="str">
        <x:v>Common pattern and supported platform</x:v>
      </x:c>
      <x:c r="F11" s="14" t="str">
        <x:v>Some platform or technology variation</x:v>
      </x:c>
      <x:c r="G11" s="14" t="str">
        <x:v>Legacy, custom, poorly documented, unsupported, or highly specialized technology</x:v>
      </x:c>
      <x:c r="H11" s="14" t="str">
        <x:v>Architecture docs; platform inventory; code/tooling</x:v>
      </x:c>
      <x:c r="I11" s="14" t="str"/>
    </x:row>
    <x:row r="12">
      <x:c r="A12" t="str">
        <x:v>CRIT-009</x:v>
      </x:c>
      <x:c r="B12" t="str">
        <x:v>SME / Documentation Readiness</x:v>
      </x:c>
      <x:c r="C12" t="str">
        <x:v>Readiness</x:v>
      </x:c>
      <x:c r="D12" s="36" t="n">
        <x:v>0.05</x:v>
      </x:c>
      <x:c r="E12" s="14" t="str">
        <x:v>SMEs and documentation available</x:v>
      </x:c>
      <x:c r="F12" s="14" t="str">
        <x:v>Some gaps in knowledge or documentation</x:v>
      </x:c>
      <x:c r="G12" s="14" t="str">
        <x:v>Limited SMEs, poor documentation, high knowledge risk</x:v>
      </x:c>
      <x:c r="H12" s="14" t="str">
        <x:v>SME availability; documentation review; support model</x:v>
      </x:c>
      <x:c r="I12" s="14" t="str"/>
    </x:row>
    <x:row r="14">
      <x:c r="A14" s="10" t="str">
        <x:v>Total Weight</x:v>
      </x:c>
      <x:c r="B14" s="10" t="str"/>
      <x:c r="C14" s="10" t="str"/>
      <x:c r="D14" s="38" t="n">
        <x:f>SUM(D4:D12)</x:f>
        <x:v>1</x:v>
      </x:c>
    </x:row>
    <x:row r="17">
      <x:c r="A17" s="31" t="str">
        <x:v>Band</x:v>
      </x:c>
      <x:c r="B17" s="31" t="str">
        <x:v>Minimum Score</x:v>
      </x:c>
      <x:c r="C17" s="31" t="str">
        <x:v>Maximum Score</x:v>
      </x:c>
      <x:c r="D17" s="31" t="str">
        <x:v>Interpretation</x:v>
      </x:c>
    </x:row>
    <x:row r="18">
      <x:c r="A18" t="str">
        <x:v>Low</x:v>
      </x:c>
      <x:c r="B18" s="40" t="n">
        <x:v>1</x:v>
      </x:c>
      <x:c r="C18" s="40" t="n">
        <x:v>1.99</x:v>
      </x:c>
      <x:c r="D18" s="14" t="str">
        <x:v>Lower complexity. Candidate may be suitable for early migration if business value supports it.</x:v>
      </x:c>
    </x:row>
    <x:row r="19">
      <x:c r="A19" t="str">
        <x:v>Medium</x:v>
      </x:c>
      <x:c r="B19" s="40" t="n">
        <x:v>2</x:v>
      </x:c>
      <x:c r="C19" s="40" t="n">
        <x:v>3.24</x:v>
      </x:c>
      <x:c r="D19" s="14" t="str">
        <x:v>Moderate complexity. Candidate needs standard planning and validation.</x:v>
      </x:c>
    </x:row>
    <x:row r="20">
      <x:c r="A20" t="str">
        <x:v>High</x:v>
      </x:c>
      <x:c r="B20" s="40" t="n">
        <x:v>3.25</x:v>
      </x:c>
      <x:c r="C20" s="40" t="n">
        <x:v>4.24</x:v>
      </x:c>
      <x:c r="D20" s="14" t="str">
        <x:v>Higher complexity. Candidate needs careful sequencing, estimation, and risk management.</x:v>
      </x:c>
    </x:row>
    <x:row r="21">
      <x:c r="A21" t="str">
        <x:v>Very High</x:v>
      </x:c>
      <x:c r="B21" s="40" t="n">
        <x:v>4.25</x:v>
      </x:c>
      <x:c r="C21" s="40" t="n">
        <x:v>5</x:v>
      </x:c>
      <x:c r="D21" s="14" t="str">
        <x:v>Very high complexity. Candidate may require de-risking, discovery, pilot, or later wave placement.</x:v>
      </x:c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33f40e1a6cd64321"/>
    <x:tablePart xmlns:r="http://schemas.openxmlformats.org/officeDocument/2006/relationships" r:id="R70aa5df5545545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6" hidden="0" customWidth="1"/>
  </x:cols>
  <x:sheetData>
    <x:row r="1">
      <x:c r="A1" s="31" t="str">
        <x:v>Candidate ID</x:v>
      </x:c>
      <x:c r="B1" s="31" t="str">
        <x:v>Application / Workflow</x:v>
      </x:c>
      <x:c r="C1" s="31" t="str">
        <x:v>Source Platform</x:v>
      </x:c>
      <x:c r="D1" s="31" t="str">
        <x:v>Business Owner</x:v>
      </x:c>
      <x:c r="E1" s="31" t="str">
        <x:v>Migration Driver</x:v>
      </x:c>
      <x:c r="F1" s="31" t="str">
        <x:v>Business Criticality</x:v>
      </x:c>
      <x:c r="G1" s="31" t="str">
        <x:v>Dependency Complexity</x:v>
      </x:c>
      <x:c r="H1" s="31" t="str">
        <x:v>Transformation Complexity</x:v>
      </x:c>
      <x:c r="I1" s="31" t="str">
        <x:v>Data Volume / Performance</x:v>
      </x:c>
      <x:c r="J1" s="31" t="str">
        <x:v>Data Quality / Source Risk</x:v>
      </x:c>
      <x:c r="K1" s="31" t="str">
        <x:v>Validation / Reconciliation</x:v>
      </x:c>
      <x:c r="L1" s="31" t="str">
        <x:v>Coexistence / Parallel Run</x:v>
      </x:c>
      <x:c r="M1" s="31" t="str">
        <x:v>Platform / Technology</x:v>
      </x:c>
      <x:c r="N1" s="31" t="str">
        <x:v>SME / Documentation Readiness</x:v>
      </x:c>
      <x:c r="O1" s="31" t="str">
        <x:v>Weighted Complexity Score</x:v>
      </x:c>
      <x:c r="P1" s="31" t="str">
        <x:v>Complexity Band</x:v>
      </x:c>
      <x:c r="Q1" s="31" t="str">
        <x:v>Readiness Confidence</x:v>
      </x:c>
      <x:c r="R1" s="31" t="str">
        <x:v>Priority Recommendation</x:v>
      </x:c>
      <x:c r="S1" s="31" t="str">
        <x:v>Scoring Notes</x:v>
      </x:c>
    </x:row>
    <x:row r="2">
      <x:c r="A2" s="14" t="str">
        <x:v>APP-001</x:v>
      </x:c>
      <x:c r="B2" s="14" t="str">
        <x:v>Customer ETL Batch</x:v>
      </x:c>
      <x:c r="C2" s="14" t="str">
        <x:v>Informatica</x:v>
      </x:c>
      <x:c r="D2" s="14" t="str">
        <x:v>Data Engineering</x:v>
      </x:c>
      <x:c r="E2" s="14" t="str">
        <x:v>Technology Deprecation</x:v>
      </x:c>
      <x:c r="F2" s="44" t="n">
        <x:v>4</x:v>
      </x:c>
      <x:c r="G2" s="44" t="n">
        <x:v>4</x:v>
      </x:c>
      <x:c r="H2" s="44" t="n">
        <x:v>5</x:v>
      </x:c>
      <x:c r="I2" s="44" t="n">
        <x:v>3</x:v>
      </x:c>
      <x:c r="J2" s="44" t="n">
        <x:v>3</x:v>
      </x:c>
      <x:c r="K2" s="44" t="n">
        <x:v>4</x:v>
      </x:c>
      <x:c r="L2" s="44" t="n">
        <x:v>3</x:v>
      </x:c>
      <x:c r="M2" s="44" t="n">
        <x:v>4</x:v>
      </x:c>
      <x:c r="N2" s="44" t="n">
        <x:v>2</x:v>
      </x:c>
      <x:c r="O2" s="42" t="n">
        <x:f>IF(COUNTA(F2:N2)=0,"",IF(COUNTA(F2:N2)&lt;9,"Incomplete",ROUND(F2*'Scoring Model'!$D$4+G2*'Scoring Model'!$D$5+H2*'Scoring Model'!$D$6+I2*'Scoring Model'!$D$7+J2*'Scoring Model'!$D$8+K2*'Scoring Model'!$D$9+L2*'Scoring Model'!$D$10+M2*'Scoring Model'!$D$11+N2*'Scoring Model'!$D$12,2)))</x:f>
        <x:v>3.75</x:v>
      </x:c>
      <x:c r="P2" s="14" t="str">
        <x:f>IF(OR(O2="",O2="Incomplete"),"",IF(O2&lt;2,"Low",IF(O2&lt;3.25,"Medium",IF(O2&lt;4.25,"High","Very High"))))</x:f>
        <x:v>High</x:v>
      </x:c>
      <x:c r="Q2" s="14" t="str">
        <x:v>Medium</x:v>
      </x:c>
      <x:c r="R2" s="14" t="str">
        <x:f>IF(OR(O2="",O2="Incomplete"),"",IF(AND(F2&gt;=4,O2&lt;=3.25),"Wave 1 Candidate",IF(O2&gt;=4.25,"Defer / De-risk",IF(O2&gt;=3.25,"Complex Wave","Standard Candidate"))))</x:f>
        <x:v>Complex Wave</x:v>
      </x:c>
      <x:c r="S2" s="14" t="str">
        <x:v>Legacy mappings with multiple downstream consumers</x:v>
      </x:c>
    </x:row>
    <x:row r="3">
      <x:c r="A3" s="14" t="str">
        <x:v>APP-002</x:v>
      </x:c>
      <x:c r="B3" s="14" t="str">
        <x:v>Branch Ledger Feed</x:v>
      </x:c>
      <x:c r="C3" s="14" t="str">
        <x:v>Mainframe</x:v>
      </x:c>
      <x:c r="D3" s="14" t="str">
        <x:v>Finance Operations</x:v>
      </x:c>
      <x:c r="E3" s="14" t="str">
        <x:v>Risk Reduction</x:v>
      </x:c>
      <x:c r="F3" s="44" t="n">
        <x:v>5</x:v>
      </x:c>
      <x:c r="G3" s="44" t="n">
        <x:v>5</x:v>
      </x:c>
      <x:c r="H3" s="44" t="n">
        <x:v>5</x:v>
      </x:c>
      <x:c r="I3" s="44" t="n">
        <x:v>4</x:v>
      </x:c>
      <x:c r="J3" s="44" t="n">
        <x:v>4</x:v>
      </x:c>
      <x:c r="K3" s="44" t="n">
        <x:v>5</x:v>
      </x:c>
      <x:c r="L3" s="44" t="n">
        <x:v>5</x:v>
      </x:c>
      <x:c r="M3" s="44" t="n">
        <x:v>5</x:v>
      </x:c>
      <x:c r="N3" s="44" t="n">
        <x:v>4</x:v>
      </x:c>
      <x:c r="O3" s="42" t="n">
        <x:f>IF(COUNTA(F3:N3)=0,"",IF(COUNTA(F3:N3)&lt;9,"Incomplete",ROUND(F3*'Scoring Model'!$D$4+G3*'Scoring Model'!$D$5+H3*'Scoring Model'!$D$6+I3*'Scoring Model'!$D$7+J3*'Scoring Model'!$D$8+K3*'Scoring Model'!$D$9+L3*'Scoring Model'!$D$10+M3*'Scoring Model'!$D$11+N3*'Scoring Model'!$D$12,2)))</x:f>
        <x:v>4.75</x:v>
      </x:c>
      <x:c r="P3" s="14" t="str">
        <x:f>IF(OR(O3="",O3="Incomplete"),"",IF(O3&lt;2,"Low",IF(O3&lt;3.25,"Medium",IF(O3&lt;4.25,"High","Very High"))))</x:f>
        <x:v>Very High</x:v>
      </x:c>
      <x:c r="Q3" s="14" t="str">
        <x:v>Low</x:v>
      </x:c>
      <x:c r="R3" s="14" t="str">
        <x:f>IF(OR(O3="",O3="Incomplete"),"",IF(AND(F3&gt;=4,O3&lt;=3.25),"Wave 1 Candidate",IF(O3&gt;=4.25,"Defer / De-risk",IF(O3&gt;=3.25,"Complex Wave","Standard Candidate"))))</x:f>
        <x:v>Defer / De-risk</x:v>
      </x:c>
      <x:c r="S3" s="14" t="str">
        <x:v>High dependency and reconciliation complexity</x:v>
      </x:c>
    </x:row>
    <x:row r="4">
      <x:c r="A4" s="14" t="str">
        <x:v>APP-003</x:v>
      </x:c>
      <x:c r="B4" s="14" t="str">
        <x:v>Marketing Analytics Load</x:v>
      </x:c>
      <x:c r="C4" s="14" t="str">
        <x:v>SSIS</x:v>
      </x:c>
      <x:c r="D4" s="14" t="str">
        <x:v>Marketing Analytics</x:v>
      </x:c>
      <x:c r="E4" s="14" t="str">
        <x:v>Platform Modernization</x:v>
      </x:c>
      <x:c r="F4" s="44" t="n">
        <x:v>2</x:v>
      </x:c>
      <x:c r="G4" s="44" t="n">
        <x:v>2</x:v>
      </x:c>
      <x:c r="H4" s="44" t="n">
        <x:v>2</x:v>
      </x:c>
      <x:c r="I4" s="44" t="n">
        <x:v>2</x:v>
      </x:c>
      <x:c r="J4" s="44" t="n">
        <x:v>2</x:v>
      </x:c>
      <x:c r="K4" s="44" t="n">
        <x:v>2</x:v>
      </x:c>
      <x:c r="L4" s="44" t="n">
        <x:v>1</x:v>
      </x:c>
      <x:c r="M4" s="44" t="n">
        <x:v>2</x:v>
      </x:c>
      <x:c r="N4" s="44" t="n">
        <x:v>2</x:v>
      </x:c>
      <x:c r="O4" s="42" t="n">
        <x:f>IF(COUNTA(F4:N4)=0,"",IF(COUNTA(F4:N4)&lt;9,"Incomplete",ROUND(F4*'Scoring Model'!$D$4+G4*'Scoring Model'!$D$5+H4*'Scoring Model'!$D$6+I4*'Scoring Model'!$D$7+J4*'Scoring Model'!$D$8+K4*'Scoring Model'!$D$9+L4*'Scoring Model'!$D$10+M4*'Scoring Model'!$D$11+N4*'Scoring Model'!$D$12,2)))</x:f>
        <x:v>1.9</x:v>
      </x:c>
      <x:c r="P4" s="14" t="str">
        <x:f>IF(OR(O4="",O4="Incomplete"),"",IF(O4&lt;2,"Low",IF(O4&lt;3.25,"Medium",IF(O4&lt;4.25,"High","Very High"))))</x:f>
        <x:v>Low</x:v>
      </x:c>
      <x:c r="Q4" s="14" t="str">
        <x:v>High</x:v>
      </x:c>
      <x:c r="R4" s="14" t="str">
        <x:f>IF(OR(O4="",O4="Incomplete"),"",IF(AND(F4&gt;=4,O4&lt;=3.25),"Wave 1 Candidate",IF(O4&gt;=4.25,"Defer / De-risk",IF(O4&gt;=3.25,"Complex Wave","Standard Candidate"))))</x:f>
        <x:v>Standard Candidate</x:v>
      </x:c>
      <x:c r="S4" s="14" t="str">
        <x:v>Good early candidate if dependencies confirmed</x:v>
      </x:c>
    </x:row>
    <x:row r="5">
      <x:c r="A5" s="14" t="str">
        <x:v>APP-004</x:v>
      </x:c>
      <x:c r="B5" s="14" t="str">
        <x:v>Regulatory Report Extract</x:v>
      </x:c>
      <x:c r="C5" s="14" t="str">
        <x:v>Oracle ETL</x:v>
      </x:c>
      <x:c r="D5" s="14" t="str">
        <x:v>Risk Reporting</x:v>
      </x:c>
      <x:c r="E5" s="14" t="str">
        <x:v>Regulatory / Compliance</x:v>
      </x:c>
      <x:c r="F5" s="44" t="n">
        <x:v>5</x:v>
      </x:c>
      <x:c r="G5" s="44" t="n">
        <x:v>3</x:v>
      </x:c>
      <x:c r="H5" s="44" t="n">
        <x:v>4</x:v>
      </x:c>
      <x:c r="I5" s="44" t="n">
        <x:v>3</x:v>
      </x:c>
      <x:c r="J5" s="44" t="n">
        <x:v>4</x:v>
      </x:c>
      <x:c r="K5" s="44" t="n">
        <x:v>5</x:v>
      </x:c>
      <x:c r="L5" s="44" t="n">
        <x:v>3</x:v>
      </x:c>
      <x:c r="M5" s="44" t="n">
        <x:v>3</x:v>
      </x:c>
      <x:c r="N5" s="44" t="n">
        <x:v>3</x:v>
      </x:c>
      <x:c r="O5" s="42" t="n">
        <x:f>IF(COUNTA(F5:N5)=0,"",IF(COUNTA(F5:N5)&lt;9,"Incomplete",ROUND(F5*'Scoring Model'!$D$4+G5*'Scoring Model'!$D$5+H5*'Scoring Model'!$D$6+I5*'Scoring Model'!$D$7+J5*'Scoring Model'!$D$8+K5*'Scoring Model'!$D$9+L5*'Scoring Model'!$D$10+M5*'Scoring Model'!$D$11+N5*'Scoring Model'!$D$12,2)))</x:f>
        <x:v>3.75</x:v>
      </x:c>
      <x:c r="P5" s="14" t="str">
        <x:f>IF(OR(O5="",O5="Incomplete"),"",IF(O5&lt;2,"Low",IF(O5&lt;3.25,"Medium",IF(O5&lt;4.25,"High","Very High"))))</x:f>
        <x:v>High</x:v>
      </x:c>
      <x:c r="Q5" s="14" t="str">
        <x:v>Medium</x:v>
      </x:c>
      <x:c r="R5" s="14" t="str">
        <x:f>IF(OR(O5="",O5="Incomplete"),"",IF(AND(F5&gt;=4,O5&lt;=3.25),"Wave 1 Candidate",IF(O5&gt;=4.25,"Defer / De-risk",IF(O5&gt;=3.25,"Complex Wave","Standard Candidate"))))</x:f>
        <x:v>Complex Wave</x:v>
      </x:c>
      <x:c r="S5" s="14" t="str">
        <x:v>Validation evidence and sign-off critical</x:v>
      </x:c>
    </x:row>
    <x:row r="6">
      <x:c r="A6" s="14" t="str">
        <x:v>APP-005</x:v>
      </x:c>
      <x:c r="B6" s="14" t="str">
        <x:v>Legacy Hadoop Aggregate</x:v>
      </x:c>
      <x:c r="C6" s="14" t="str">
        <x:v>Hadoop</x:v>
      </x:c>
      <x:c r="D6" s="14" t="str">
        <x:v>Enterprise Data</x:v>
      </x:c>
      <x:c r="E6" s="14" t="str">
        <x:v>Cost Reduction</x:v>
      </x:c>
      <x:c r="F6" s="44" t="n">
        <x:v>3</x:v>
      </x:c>
      <x:c r="G6" s="44" t="n">
        <x:v>4</x:v>
      </x:c>
      <x:c r="H6" s="44" t="n">
        <x:v>4</x:v>
      </x:c>
      <x:c r="I6" s="44" t="n">
        <x:v>5</x:v>
      </x:c>
      <x:c r="J6" s="44" t="n">
        <x:v>3</x:v>
      </x:c>
      <x:c r="K6" s="44" t="n">
        <x:v>4</x:v>
      </x:c>
      <x:c r="L6" s="44" t="n">
        <x:v>3</x:v>
      </x:c>
      <x:c r="M6" s="44" t="n">
        <x:v>4</x:v>
      </x:c>
      <x:c r="N6" s="44" t="n">
        <x:v>3</x:v>
      </x:c>
      <x:c r="O6" s="42" t="n">
        <x:f>IF(COUNTA(F6:N6)=0,"",IF(COUNTA(F6:N6)&lt;9,"Incomplete",ROUND(F6*'Scoring Model'!$D$4+G6*'Scoring Model'!$D$5+H6*'Scoring Model'!$D$6+I6*'Scoring Model'!$D$7+J6*'Scoring Model'!$D$8+K6*'Scoring Model'!$D$9+L6*'Scoring Model'!$D$10+M6*'Scoring Model'!$D$11+N6*'Scoring Model'!$D$12,2)))</x:f>
        <x:v>3.75</x:v>
      </x:c>
      <x:c r="P6" s="14" t="str">
        <x:f>IF(OR(O6="",O6="Incomplete"),"",IF(O6&lt;2,"Low",IF(O6&lt;3.25,"Medium",IF(O6&lt;4.25,"High","Very High"))))</x:f>
        <x:v>High</x:v>
      </x:c>
      <x:c r="Q6" s="14" t="str">
        <x:v>Medium</x:v>
      </x:c>
      <x:c r="R6" s="14" t="str">
        <x:f>IF(OR(O6="",O6="Incomplete"),"",IF(AND(F6&gt;=4,O6&lt;=3.25),"Wave 1 Candidate",IF(O6&gt;=4.25,"Defer / De-risk",IF(O6&gt;=3.25,"Complex Wave","Standard Candidate"))))</x:f>
        <x:v>Complex Wave</x:v>
      </x:c>
      <x:c r="S6" s="14" t="str">
        <x:v>Large volumes and performance considerations</x:v>
      </x:c>
    </x:row>
    <x:row r="7">
      <x:c r="A7" s="14"/>
      <x:c r="B7" s="14"/>
      <x:c r="C7" s="14"/>
      <x:c r="D7" s="14"/>
      <x:c r="E7" s="14"/>
      <x:c r="F7" s="44"/>
      <x:c r="G7" s="44"/>
      <x:c r="H7" s="44"/>
      <x:c r="I7" s="44"/>
      <x:c r="J7" s="44"/>
      <x:c r="K7" s="44"/>
      <x:c r="L7" s="44"/>
      <x:c r="M7" s="44"/>
      <x:c r="N7" s="44"/>
      <x:c r="O7" s="42" t="str">
        <x:f>IF(COUNTA(F7:N7)=0,"",IF(COUNTA(F7:N7)&lt;9,"Incomplete",ROUND(F7*'Scoring Model'!$D$4+G7*'Scoring Model'!$D$5+H7*'Scoring Model'!$D$6+I7*'Scoring Model'!$D$7+J7*'Scoring Model'!$D$8+K7*'Scoring Model'!$D$9+L7*'Scoring Model'!$D$10+M7*'Scoring Model'!$D$11+N7*'Scoring Model'!$D$12,2)))</x:f>
      </x:c>
      <x:c r="P7" s="14" t="str">
        <x:f>IF(OR(O7="",O7="Incomplete"),"",IF(O7&lt;2,"Low",IF(O7&lt;3.25,"Medium",IF(O7&lt;4.25,"High","Very High"))))</x:f>
      </x:c>
      <x:c r="Q7" s="14"/>
      <x:c r="R7" s="14" t="str">
        <x:f>IF(OR(O7="",O7="Incomplete"),"",IF(AND(F7&gt;=4,O7&lt;=3.25),"Wave 1 Candidate",IF(O7&gt;=4.25,"Defer / De-risk",IF(O7&gt;=3.25,"Complex Wave","Standard Candidate"))))</x:f>
      </x:c>
      <x:c r="S7" s="14"/>
    </x:row>
    <x:row r="8">
      <x:c r="A8" s="14"/>
      <x:c r="B8" s="14"/>
      <x:c r="C8" s="14"/>
      <x:c r="D8" s="14"/>
      <x:c r="E8" s="14"/>
      <x:c r="F8" s="44"/>
      <x:c r="G8" s="44"/>
      <x:c r="H8" s="44"/>
      <x:c r="I8" s="44"/>
      <x:c r="J8" s="44"/>
      <x:c r="K8" s="44"/>
      <x:c r="L8" s="44"/>
      <x:c r="M8" s="44"/>
      <x:c r="N8" s="44"/>
      <x:c r="O8" s="42" t="str">
        <x:f>IF(COUNTA(F8:N8)=0,"",IF(COUNTA(F8:N8)&lt;9,"Incomplete",ROUND(F8*'Scoring Model'!$D$4+G8*'Scoring Model'!$D$5+H8*'Scoring Model'!$D$6+I8*'Scoring Model'!$D$7+J8*'Scoring Model'!$D$8+K8*'Scoring Model'!$D$9+L8*'Scoring Model'!$D$10+M8*'Scoring Model'!$D$11+N8*'Scoring Model'!$D$12,2)))</x:f>
      </x:c>
      <x:c r="P8" s="14" t="str">
        <x:f>IF(OR(O8="",O8="Incomplete"),"",IF(O8&lt;2,"Low",IF(O8&lt;3.25,"Medium",IF(O8&lt;4.25,"High","Very High"))))</x:f>
      </x:c>
      <x:c r="Q8" s="14"/>
      <x:c r="R8" s="14" t="str">
        <x:f>IF(OR(O8="",O8="Incomplete"),"",IF(AND(F8&gt;=4,O8&lt;=3.25),"Wave 1 Candidate",IF(O8&gt;=4.25,"Defer / De-risk",IF(O8&gt;=3.25,"Complex Wave","Standard Candidate"))))</x:f>
      </x:c>
      <x:c r="S8" s="14"/>
    </x:row>
    <x:row r="9">
      <x:c r="A9" s="14"/>
      <x:c r="B9" s="14"/>
      <x:c r="C9" s="14"/>
      <x:c r="D9" s="14"/>
      <x:c r="E9" s="14"/>
      <x:c r="F9" s="44"/>
      <x:c r="G9" s="44"/>
      <x:c r="H9" s="44"/>
      <x:c r="I9" s="44"/>
      <x:c r="J9" s="44"/>
      <x:c r="K9" s="44"/>
      <x:c r="L9" s="44"/>
      <x:c r="M9" s="44"/>
      <x:c r="N9" s="44"/>
      <x:c r="O9" s="42" t="str">
        <x:f>IF(COUNTA(F9:N9)=0,"",IF(COUNTA(F9:N9)&lt;9,"Incomplete",ROUND(F9*'Scoring Model'!$D$4+G9*'Scoring Model'!$D$5+H9*'Scoring Model'!$D$6+I9*'Scoring Model'!$D$7+J9*'Scoring Model'!$D$8+K9*'Scoring Model'!$D$9+L9*'Scoring Model'!$D$10+M9*'Scoring Model'!$D$11+N9*'Scoring Model'!$D$12,2)))</x:f>
      </x:c>
      <x:c r="P9" s="14" t="str">
        <x:f>IF(OR(O9="",O9="Incomplete"),"",IF(O9&lt;2,"Low",IF(O9&lt;3.25,"Medium",IF(O9&lt;4.25,"High","Very High"))))</x:f>
      </x:c>
      <x:c r="Q9" s="14"/>
      <x:c r="R9" s="14" t="str">
        <x:f>IF(OR(O9="",O9="Incomplete"),"",IF(AND(F9&gt;=4,O9&lt;=3.25),"Wave 1 Candidate",IF(O9&gt;=4.25,"Defer / De-risk",IF(O9&gt;=3.25,"Complex Wave","Standard Candidate"))))</x:f>
      </x:c>
      <x:c r="S9" s="14"/>
    </x:row>
    <x:row r="10">
      <x:c r="A10" s="14"/>
      <x:c r="B10" s="14"/>
      <x:c r="C10" s="14"/>
      <x:c r="D10" s="14"/>
      <x:c r="E10" s="1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2" t="str">
        <x:f>IF(COUNTA(F10:N10)=0,"",IF(COUNTA(F10:N10)&lt;9,"Incomplete",ROUND(F10*'Scoring Model'!$D$4+G10*'Scoring Model'!$D$5+H10*'Scoring Model'!$D$6+I10*'Scoring Model'!$D$7+J10*'Scoring Model'!$D$8+K10*'Scoring Model'!$D$9+L10*'Scoring Model'!$D$10+M10*'Scoring Model'!$D$11+N10*'Scoring Model'!$D$12,2)))</x:f>
      </x:c>
      <x:c r="P10" s="14" t="str">
        <x:f>IF(OR(O10="",O10="Incomplete"),"",IF(O10&lt;2,"Low",IF(O10&lt;3.25,"Medium",IF(O10&lt;4.25,"High","Very High"))))</x:f>
      </x:c>
      <x:c r="Q10" s="14"/>
      <x:c r="R10" s="14" t="str">
        <x:f>IF(OR(O10="",O10="Incomplete"),"",IF(AND(F10&gt;=4,O10&lt;=3.25),"Wave 1 Candidate",IF(O10&gt;=4.25,"Defer / De-risk",IF(O10&gt;=3.25,"Complex Wave","Standard Candidate"))))</x:f>
      </x:c>
      <x:c r="S10" s="14"/>
    </x:row>
    <x:row r="11">
      <x:c r="A11" s="14"/>
      <x:c r="B11" s="14"/>
      <x:c r="C11" s="14"/>
      <x:c r="D11" s="14"/>
      <x:c r="E11" s="1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2" t="str">
        <x:f>IF(COUNTA(F11:N11)=0,"",IF(COUNTA(F11:N11)&lt;9,"Incomplete",ROUND(F11*'Scoring Model'!$D$4+G11*'Scoring Model'!$D$5+H11*'Scoring Model'!$D$6+I11*'Scoring Model'!$D$7+J11*'Scoring Model'!$D$8+K11*'Scoring Model'!$D$9+L11*'Scoring Model'!$D$10+M11*'Scoring Model'!$D$11+N11*'Scoring Model'!$D$12,2)))</x:f>
      </x:c>
      <x:c r="P11" s="14" t="str">
        <x:f>IF(OR(O11="",O11="Incomplete"),"",IF(O11&lt;2,"Low",IF(O11&lt;3.25,"Medium",IF(O11&lt;4.25,"High","Very High"))))</x:f>
      </x:c>
      <x:c r="Q11" s="14"/>
      <x:c r="R11" s="14" t="str">
        <x:f>IF(OR(O11="",O11="Incomplete"),"",IF(AND(F11&gt;=4,O11&lt;=3.25),"Wave 1 Candidate",IF(O11&gt;=4.25,"Defer / De-risk",IF(O11&gt;=3.25,"Complex Wave","Standard Candidate"))))</x:f>
      </x:c>
      <x:c r="S11" s="14"/>
    </x:row>
    <x:row r="12">
      <x:c r="A12" s="14"/>
      <x:c r="B12" s="14"/>
      <x:c r="C12" s="14"/>
      <x:c r="D12" s="14"/>
      <x:c r="E12" s="1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2" t="str">
        <x:f>IF(COUNTA(F12:N12)=0,"",IF(COUNTA(F12:N12)&lt;9,"Incomplete",ROUND(F12*'Scoring Model'!$D$4+G12*'Scoring Model'!$D$5+H12*'Scoring Model'!$D$6+I12*'Scoring Model'!$D$7+J12*'Scoring Model'!$D$8+K12*'Scoring Model'!$D$9+L12*'Scoring Model'!$D$10+M12*'Scoring Model'!$D$11+N12*'Scoring Model'!$D$12,2)))</x:f>
      </x:c>
      <x:c r="P12" s="14" t="str">
        <x:f>IF(OR(O12="",O12="Incomplete"),"",IF(O12&lt;2,"Low",IF(O12&lt;3.25,"Medium",IF(O12&lt;4.25,"High","Very High"))))</x:f>
      </x:c>
      <x:c r="Q12" s="14"/>
      <x:c r="R12" s="14" t="str">
        <x:f>IF(OR(O12="",O12="Incomplete"),"",IF(AND(F12&gt;=4,O12&lt;=3.25),"Wave 1 Candidate",IF(O12&gt;=4.25,"Defer / De-risk",IF(O12&gt;=3.25,"Complex Wave","Standard Candidate"))))</x:f>
      </x:c>
      <x:c r="S12" s="14"/>
    </x:row>
    <x:row r="13">
      <x:c r="A13" s="14"/>
      <x:c r="B13" s="14"/>
      <x:c r="C13" s="14"/>
      <x:c r="D13" s="14"/>
      <x:c r="E13" s="1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2" t="str">
        <x:f>IF(COUNTA(F13:N13)=0,"",IF(COUNTA(F13:N13)&lt;9,"Incomplete",ROUND(F13*'Scoring Model'!$D$4+G13*'Scoring Model'!$D$5+H13*'Scoring Model'!$D$6+I13*'Scoring Model'!$D$7+J13*'Scoring Model'!$D$8+K13*'Scoring Model'!$D$9+L13*'Scoring Model'!$D$10+M13*'Scoring Model'!$D$11+N13*'Scoring Model'!$D$12,2)))</x:f>
      </x:c>
      <x:c r="P13" s="14" t="str">
        <x:f>IF(OR(O13="",O13="Incomplete"),"",IF(O13&lt;2,"Low",IF(O13&lt;3.25,"Medium",IF(O13&lt;4.25,"High","Very High"))))</x:f>
      </x:c>
      <x:c r="Q13" s="14"/>
      <x:c r="R13" s="14" t="str">
        <x:f>IF(OR(O13="",O13="Incomplete"),"",IF(AND(F13&gt;=4,O13&lt;=3.25),"Wave 1 Candidate",IF(O13&gt;=4.25,"Defer / De-risk",IF(O13&gt;=3.25,"Complex Wave","Standard Candidate"))))</x:f>
      </x:c>
      <x:c r="S13" s="14"/>
    </x:row>
    <x:row r="14">
      <x:c r="A14" s="14"/>
      <x:c r="B14" s="14"/>
      <x:c r="C14" s="14"/>
      <x:c r="D14" s="14"/>
      <x:c r="E14" s="1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2" t="str">
        <x:f>IF(COUNTA(F14:N14)=0,"",IF(COUNTA(F14:N14)&lt;9,"Incomplete",ROUND(F14*'Scoring Model'!$D$4+G14*'Scoring Model'!$D$5+H14*'Scoring Model'!$D$6+I14*'Scoring Model'!$D$7+J14*'Scoring Model'!$D$8+K14*'Scoring Model'!$D$9+L14*'Scoring Model'!$D$10+M14*'Scoring Model'!$D$11+N14*'Scoring Model'!$D$12,2)))</x:f>
      </x:c>
      <x:c r="P14" s="14" t="str">
        <x:f>IF(OR(O14="",O14="Incomplete"),"",IF(O14&lt;2,"Low",IF(O14&lt;3.25,"Medium",IF(O14&lt;4.25,"High","Very High"))))</x:f>
      </x:c>
      <x:c r="Q14" s="14"/>
      <x:c r="R14" s="14" t="str">
        <x:f>IF(OR(O14="",O14="Incomplete"),"",IF(AND(F14&gt;=4,O14&lt;=3.25),"Wave 1 Candidate",IF(O14&gt;=4.25,"Defer / De-risk",IF(O14&gt;=3.25,"Complex Wave","Standard Candidate"))))</x:f>
      </x:c>
      <x:c r="S14" s="14"/>
    </x:row>
    <x:row r="15">
      <x:c r="A15" s="14"/>
      <x:c r="B15" s="14"/>
      <x:c r="C15" s="14"/>
      <x:c r="D15" s="14"/>
      <x:c r="E15" s="1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2" t="str">
        <x:f>IF(COUNTA(F15:N15)=0,"",IF(COUNTA(F15:N15)&lt;9,"Incomplete",ROUND(F15*'Scoring Model'!$D$4+G15*'Scoring Model'!$D$5+H15*'Scoring Model'!$D$6+I15*'Scoring Model'!$D$7+J15*'Scoring Model'!$D$8+K15*'Scoring Model'!$D$9+L15*'Scoring Model'!$D$10+M15*'Scoring Model'!$D$11+N15*'Scoring Model'!$D$12,2)))</x:f>
      </x:c>
      <x:c r="P15" s="14" t="str">
        <x:f>IF(OR(O15="",O15="Incomplete"),"",IF(O15&lt;2,"Low",IF(O15&lt;3.25,"Medium",IF(O15&lt;4.25,"High","Very High"))))</x:f>
      </x:c>
      <x:c r="Q15" s="14"/>
      <x:c r="R15" s="14" t="str">
        <x:f>IF(OR(O15="",O15="Incomplete"),"",IF(AND(F15&gt;=4,O15&lt;=3.25),"Wave 1 Candidate",IF(O15&gt;=4.25,"Defer / De-risk",IF(O15&gt;=3.25,"Complex Wave","Standard Candidate"))))</x:f>
      </x:c>
      <x:c r="S15" s="14"/>
    </x:row>
    <x:row r="16">
      <x:c r="A16" s="14"/>
      <x:c r="B16" s="14"/>
      <x:c r="C16" s="14"/>
      <x:c r="D16" s="14"/>
      <x:c r="E16" s="1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2" t="str">
        <x:f>IF(COUNTA(F16:N16)=0,"",IF(COUNTA(F16:N16)&lt;9,"Incomplete",ROUND(F16*'Scoring Model'!$D$4+G16*'Scoring Model'!$D$5+H16*'Scoring Model'!$D$6+I16*'Scoring Model'!$D$7+J16*'Scoring Model'!$D$8+K16*'Scoring Model'!$D$9+L16*'Scoring Model'!$D$10+M16*'Scoring Model'!$D$11+N16*'Scoring Model'!$D$12,2)))</x:f>
      </x:c>
      <x:c r="P16" s="14" t="str">
        <x:f>IF(OR(O16="",O16="Incomplete"),"",IF(O16&lt;2,"Low",IF(O16&lt;3.25,"Medium",IF(O16&lt;4.25,"High","Very High"))))</x:f>
      </x:c>
      <x:c r="Q16" s="14"/>
      <x:c r="R16" s="14" t="str">
        <x:f>IF(OR(O16="",O16="Incomplete"),"",IF(AND(F16&gt;=4,O16&lt;=3.25),"Wave 1 Candidate",IF(O16&gt;=4.25,"Defer / De-risk",IF(O16&gt;=3.25,"Complex Wave","Standard Candidate"))))</x:f>
      </x:c>
      <x:c r="S16" s="14"/>
    </x:row>
    <x:row r="17">
      <x:c r="A17" s="14"/>
      <x:c r="B17" s="14"/>
      <x:c r="C17" s="14"/>
      <x:c r="D17" s="14"/>
      <x:c r="E17" s="1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2" t="str">
        <x:f>IF(COUNTA(F17:N17)=0,"",IF(COUNTA(F17:N17)&lt;9,"Incomplete",ROUND(F17*'Scoring Model'!$D$4+G17*'Scoring Model'!$D$5+H17*'Scoring Model'!$D$6+I17*'Scoring Model'!$D$7+J17*'Scoring Model'!$D$8+K17*'Scoring Model'!$D$9+L17*'Scoring Model'!$D$10+M17*'Scoring Model'!$D$11+N17*'Scoring Model'!$D$12,2)))</x:f>
      </x:c>
      <x:c r="P17" s="14" t="str">
        <x:f>IF(OR(O17="",O17="Incomplete"),"",IF(O17&lt;2,"Low",IF(O17&lt;3.25,"Medium",IF(O17&lt;4.25,"High","Very High"))))</x:f>
      </x:c>
      <x:c r="Q17" s="14"/>
      <x:c r="R17" s="14" t="str">
        <x:f>IF(OR(O17="",O17="Incomplete"),"",IF(AND(F17&gt;=4,O17&lt;=3.25),"Wave 1 Candidate",IF(O17&gt;=4.25,"Defer / De-risk",IF(O17&gt;=3.25,"Complex Wave","Standard Candidate"))))</x:f>
      </x:c>
      <x:c r="S17" s="14"/>
    </x:row>
    <x:row r="18">
      <x:c r="A18" s="14"/>
      <x:c r="B18" s="14"/>
      <x:c r="C18" s="14"/>
      <x:c r="D18" s="14"/>
      <x:c r="E18" s="1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2" t="str">
        <x:f>IF(COUNTA(F18:N18)=0,"",IF(COUNTA(F18:N18)&lt;9,"Incomplete",ROUND(F18*'Scoring Model'!$D$4+G18*'Scoring Model'!$D$5+H18*'Scoring Model'!$D$6+I18*'Scoring Model'!$D$7+J18*'Scoring Model'!$D$8+K18*'Scoring Model'!$D$9+L18*'Scoring Model'!$D$10+M18*'Scoring Model'!$D$11+N18*'Scoring Model'!$D$12,2)))</x:f>
      </x:c>
      <x:c r="P18" s="14" t="str">
        <x:f>IF(OR(O18="",O18="Incomplete"),"",IF(O18&lt;2,"Low",IF(O18&lt;3.25,"Medium",IF(O18&lt;4.25,"High","Very High"))))</x:f>
      </x:c>
      <x:c r="Q18" s="14"/>
      <x:c r="R18" s="14" t="str">
        <x:f>IF(OR(O18="",O18="Incomplete"),"",IF(AND(F18&gt;=4,O18&lt;=3.25),"Wave 1 Candidate",IF(O18&gt;=4.25,"Defer / De-risk",IF(O18&gt;=3.25,"Complex Wave","Standard Candidate"))))</x:f>
      </x:c>
      <x:c r="S18" s="14"/>
    </x:row>
    <x:row r="19">
      <x:c r="A19" s="14"/>
      <x:c r="B19" s="14"/>
      <x:c r="C19" s="14"/>
      <x:c r="D19" s="14"/>
      <x:c r="E19" s="1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2" t="str">
        <x:f>IF(COUNTA(F19:N19)=0,"",IF(COUNTA(F19:N19)&lt;9,"Incomplete",ROUND(F19*'Scoring Model'!$D$4+G19*'Scoring Model'!$D$5+H19*'Scoring Model'!$D$6+I19*'Scoring Model'!$D$7+J19*'Scoring Model'!$D$8+K19*'Scoring Model'!$D$9+L19*'Scoring Model'!$D$10+M19*'Scoring Model'!$D$11+N19*'Scoring Model'!$D$12,2)))</x:f>
      </x:c>
      <x:c r="P19" s="14" t="str">
        <x:f>IF(OR(O19="",O19="Incomplete"),"",IF(O19&lt;2,"Low",IF(O19&lt;3.25,"Medium",IF(O19&lt;4.25,"High","Very High"))))</x:f>
      </x:c>
      <x:c r="Q19" s="14"/>
      <x:c r="R19" s="14" t="str">
        <x:f>IF(OR(O19="",O19="Incomplete"),"",IF(AND(F19&gt;=4,O19&lt;=3.25),"Wave 1 Candidate",IF(O19&gt;=4.25,"Defer / De-risk",IF(O19&gt;=3.25,"Complex Wave","Standard Candidate"))))</x:f>
      </x:c>
      <x:c r="S19" s="14"/>
    </x:row>
    <x:row r="20">
      <x:c r="A20" s="14"/>
      <x:c r="B20" s="14"/>
      <x:c r="C20" s="14"/>
      <x:c r="D20" s="14"/>
      <x:c r="E20" s="1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2" t="str">
        <x:f>IF(COUNTA(F20:N20)=0,"",IF(COUNTA(F20:N20)&lt;9,"Incomplete",ROUND(F20*'Scoring Model'!$D$4+G20*'Scoring Model'!$D$5+H20*'Scoring Model'!$D$6+I20*'Scoring Model'!$D$7+J20*'Scoring Model'!$D$8+K20*'Scoring Model'!$D$9+L20*'Scoring Model'!$D$10+M20*'Scoring Model'!$D$11+N20*'Scoring Model'!$D$12,2)))</x:f>
      </x:c>
      <x:c r="P20" s="14" t="str">
        <x:f>IF(OR(O20="",O20="Incomplete"),"",IF(O20&lt;2,"Low",IF(O20&lt;3.25,"Medium",IF(O20&lt;4.25,"High","Very High"))))</x:f>
      </x:c>
      <x:c r="Q20" s="14"/>
      <x:c r="R20" s="14" t="str">
        <x:f>IF(OR(O20="",O20="Incomplete"),"",IF(AND(F20&gt;=4,O20&lt;=3.25),"Wave 1 Candidate",IF(O20&gt;=4.25,"Defer / De-risk",IF(O20&gt;=3.25,"Complex Wave","Standard Candidate"))))</x:f>
      </x:c>
      <x:c r="S20" s="14"/>
    </x:row>
    <x:row r="21">
      <x:c r="A21" s="14"/>
      <x:c r="B21" s="14"/>
      <x:c r="C21" s="14"/>
      <x:c r="D21" s="14"/>
      <x:c r="E21" s="1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2" t="str">
        <x:f>IF(COUNTA(F21:N21)=0,"",IF(COUNTA(F21:N21)&lt;9,"Incomplete",ROUND(F21*'Scoring Model'!$D$4+G21*'Scoring Model'!$D$5+H21*'Scoring Model'!$D$6+I21*'Scoring Model'!$D$7+J21*'Scoring Model'!$D$8+K21*'Scoring Model'!$D$9+L21*'Scoring Model'!$D$10+M21*'Scoring Model'!$D$11+N21*'Scoring Model'!$D$12,2)))</x:f>
      </x:c>
      <x:c r="P21" s="14" t="str">
        <x:f>IF(OR(O21="",O21="Incomplete"),"",IF(O21&lt;2,"Low",IF(O21&lt;3.25,"Medium",IF(O21&lt;4.25,"High","Very High"))))</x:f>
      </x:c>
      <x:c r="Q21" s="14"/>
      <x:c r="R21" s="14" t="str">
        <x:f>IF(OR(O21="",O21="Incomplete"),"",IF(AND(F21&gt;=4,O21&lt;=3.25),"Wave 1 Candidate",IF(O21&gt;=4.25,"Defer / De-risk",IF(O21&gt;=3.25,"Complex Wave","Standard Candidate"))))</x:f>
      </x:c>
      <x:c r="S21" s="14"/>
    </x:row>
    <x:row r="22">
      <x:c r="A22" s="14"/>
      <x:c r="B22" s="14"/>
      <x:c r="C22" s="14"/>
      <x:c r="D22" s="14"/>
      <x:c r="E22" s="1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2" t="str">
        <x:f>IF(COUNTA(F22:N22)=0,"",IF(COUNTA(F22:N22)&lt;9,"Incomplete",ROUND(F22*'Scoring Model'!$D$4+G22*'Scoring Model'!$D$5+H22*'Scoring Model'!$D$6+I22*'Scoring Model'!$D$7+J22*'Scoring Model'!$D$8+K22*'Scoring Model'!$D$9+L22*'Scoring Model'!$D$10+M22*'Scoring Model'!$D$11+N22*'Scoring Model'!$D$12,2)))</x:f>
      </x:c>
      <x:c r="P22" s="14" t="str">
        <x:f>IF(OR(O22="",O22="Incomplete"),"",IF(O22&lt;2,"Low",IF(O22&lt;3.25,"Medium",IF(O22&lt;4.25,"High","Very High"))))</x:f>
      </x:c>
      <x:c r="Q22" s="14"/>
      <x:c r="R22" s="14" t="str">
        <x:f>IF(OR(O22="",O22="Incomplete"),"",IF(AND(F22&gt;=4,O22&lt;=3.25),"Wave 1 Candidate",IF(O22&gt;=4.25,"Defer / De-risk",IF(O22&gt;=3.25,"Complex Wave","Standard Candidate"))))</x:f>
      </x:c>
      <x:c r="S22" s="14"/>
    </x:row>
    <x:row r="23">
      <x:c r="A23" s="14"/>
      <x:c r="B23" s="14"/>
      <x:c r="C23" s="14"/>
      <x:c r="D23" s="14"/>
      <x:c r="E23" s="1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2" t="str">
        <x:f>IF(COUNTA(F23:N23)=0,"",IF(COUNTA(F23:N23)&lt;9,"Incomplete",ROUND(F23*'Scoring Model'!$D$4+G23*'Scoring Model'!$D$5+H23*'Scoring Model'!$D$6+I23*'Scoring Model'!$D$7+J23*'Scoring Model'!$D$8+K23*'Scoring Model'!$D$9+L23*'Scoring Model'!$D$10+M23*'Scoring Model'!$D$11+N23*'Scoring Model'!$D$12,2)))</x:f>
      </x:c>
      <x:c r="P23" s="14" t="str">
        <x:f>IF(OR(O23="",O23="Incomplete"),"",IF(O23&lt;2,"Low",IF(O23&lt;3.25,"Medium",IF(O23&lt;4.25,"High","Very High"))))</x:f>
      </x:c>
      <x:c r="Q23" s="14"/>
      <x:c r="R23" s="14" t="str">
        <x:f>IF(OR(O23="",O23="Incomplete"),"",IF(AND(F23&gt;=4,O23&lt;=3.25),"Wave 1 Candidate",IF(O23&gt;=4.25,"Defer / De-risk",IF(O23&gt;=3.25,"Complex Wave","Standard Candidate"))))</x:f>
      </x:c>
      <x:c r="S23" s="14"/>
    </x:row>
    <x:row r="24">
      <x:c r="A24" s="14"/>
      <x:c r="B24" s="14"/>
      <x:c r="C24" s="14"/>
      <x:c r="D24" s="14"/>
      <x:c r="E24" s="1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2" t="str">
        <x:f>IF(COUNTA(F24:N24)=0,"",IF(COUNTA(F24:N24)&lt;9,"Incomplete",ROUND(F24*'Scoring Model'!$D$4+G24*'Scoring Model'!$D$5+H24*'Scoring Model'!$D$6+I24*'Scoring Model'!$D$7+J24*'Scoring Model'!$D$8+K24*'Scoring Model'!$D$9+L24*'Scoring Model'!$D$10+M24*'Scoring Model'!$D$11+N24*'Scoring Model'!$D$12,2)))</x:f>
      </x:c>
      <x:c r="P24" s="14" t="str">
        <x:f>IF(OR(O24="",O24="Incomplete"),"",IF(O24&lt;2,"Low",IF(O24&lt;3.25,"Medium",IF(O24&lt;4.25,"High","Very High"))))</x:f>
      </x:c>
      <x:c r="Q24" s="14"/>
      <x:c r="R24" s="14" t="str">
        <x:f>IF(OR(O24="",O24="Incomplete"),"",IF(AND(F24&gt;=4,O24&lt;=3.25),"Wave 1 Candidate",IF(O24&gt;=4.25,"Defer / De-risk",IF(O24&gt;=3.25,"Complex Wave","Standard Candidate"))))</x:f>
      </x:c>
      <x:c r="S24" s="14"/>
    </x:row>
    <x:row r="25">
      <x:c r="A25" s="14"/>
      <x:c r="B25" s="14"/>
      <x:c r="C25" s="14"/>
      <x:c r="D25" s="14"/>
      <x:c r="E25" s="1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2" t="str">
        <x:f>IF(COUNTA(F25:N25)=0,"",IF(COUNTA(F25:N25)&lt;9,"Incomplete",ROUND(F25*'Scoring Model'!$D$4+G25*'Scoring Model'!$D$5+H25*'Scoring Model'!$D$6+I25*'Scoring Model'!$D$7+J25*'Scoring Model'!$D$8+K25*'Scoring Model'!$D$9+L25*'Scoring Model'!$D$10+M25*'Scoring Model'!$D$11+N25*'Scoring Model'!$D$12,2)))</x:f>
      </x:c>
      <x:c r="P25" s="14" t="str">
        <x:f>IF(OR(O25="",O25="Incomplete"),"",IF(O25&lt;2,"Low",IF(O25&lt;3.25,"Medium",IF(O25&lt;4.25,"High","Very High"))))</x:f>
      </x:c>
      <x:c r="Q25" s="14"/>
      <x:c r="R25" s="14" t="str">
        <x:f>IF(OR(O25="",O25="Incomplete"),"",IF(AND(F25&gt;=4,O25&lt;=3.25),"Wave 1 Candidate",IF(O25&gt;=4.25,"Defer / De-risk",IF(O25&gt;=3.25,"Complex Wave","Standard Candidate"))))</x:f>
      </x:c>
      <x:c r="S25" s="14"/>
    </x:row>
    <x:row r="26">
      <x:c r="A26" s="14"/>
      <x:c r="B26" s="14"/>
      <x:c r="C26" s="14"/>
      <x:c r="D26" s="14"/>
      <x:c r="E26" s="1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2" t="str">
        <x:f>IF(COUNTA(F26:N26)=0,"",IF(COUNTA(F26:N26)&lt;9,"Incomplete",ROUND(F26*'Scoring Model'!$D$4+G26*'Scoring Model'!$D$5+H26*'Scoring Model'!$D$6+I26*'Scoring Model'!$D$7+J26*'Scoring Model'!$D$8+K26*'Scoring Model'!$D$9+L26*'Scoring Model'!$D$10+M26*'Scoring Model'!$D$11+N26*'Scoring Model'!$D$12,2)))</x:f>
      </x:c>
      <x:c r="P26" s="14" t="str">
        <x:f>IF(OR(O26="",O26="Incomplete"),"",IF(O26&lt;2,"Low",IF(O26&lt;3.25,"Medium",IF(O26&lt;4.25,"High","Very High"))))</x:f>
      </x:c>
      <x:c r="Q26" s="14"/>
      <x:c r="R26" s="14" t="str">
        <x:f>IF(OR(O26="",O26="Incomplete"),"",IF(AND(F26&gt;=4,O26&lt;=3.25),"Wave 1 Candidate",IF(O26&gt;=4.25,"Defer / De-risk",IF(O26&gt;=3.25,"Complex Wave","Standard Candidate"))))</x:f>
      </x:c>
      <x:c r="S26" s="14"/>
    </x:row>
    <x:row r="27">
      <x:c r="A27" s="14"/>
      <x:c r="B27" s="14"/>
      <x:c r="C27" s="14"/>
      <x:c r="D27" s="14"/>
      <x:c r="E27" s="1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2" t="str">
        <x:f>IF(COUNTA(F27:N27)=0,"",IF(COUNTA(F27:N27)&lt;9,"Incomplete",ROUND(F27*'Scoring Model'!$D$4+G27*'Scoring Model'!$D$5+H27*'Scoring Model'!$D$6+I27*'Scoring Model'!$D$7+J27*'Scoring Model'!$D$8+K27*'Scoring Model'!$D$9+L27*'Scoring Model'!$D$10+M27*'Scoring Model'!$D$11+N27*'Scoring Model'!$D$12,2)))</x:f>
      </x:c>
      <x:c r="P27" s="14" t="str">
        <x:f>IF(OR(O27="",O27="Incomplete"),"",IF(O27&lt;2,"Low",IF(O27&lt;3.25,"Medium",IF(O27&lt;4.25,"High","Very High"))))</x:f>
      </x:c>
      <x:c r="Q27" s="14"/>
      <x:c r="R27" s="14" t="str">
        <x:f>IF(OR(O27="",O27="Incomplete"),"",IF(AND(F27&gt;=4,O27&lt;=3.25),"Wave 1 Candidate",IF(O27&gt;=4.25,"Defer / De-risk",IF(O27&gt;=3.25,"Complex Wave","Standard Candidate"))))</x:f>
      </x:c>
      <x:c r="S27" s="14"/>
    </x:row>
    <x:row r="28">
      <x:c r="A28" s="14"/>
      <x:c r="B28" s="14"/>
      <x:c r="C28" s="14"/>
      <x:c r="D28" s="14"/>
      <x:c r="E28" s="1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2" t="str">
        <x:f>IF(COUNTA(F28:N28)=0,"",IF(COUNTA(F28:N28)&lt;9,"Incomplete",ROUND(F28*'Scoring Model'!$D$4+G28*'Scoring Model'!$D$5+H28*'Scoring Model'!$D$6+I28*'Scoring Model'!$D$7+J28*'Scoring Model'!$D$8+K28*'Scoring Model'!$D$9+L28*'Scoring Model'!$D$10+M28*'Scoring Model'!$D$11+N28*'Scoring Model'!$D$12,2)))</x:f>
      </x:c>
      <x:c r="P28" s="14" t="str">
        <x:f>IF(OR(O28="",O28="Incomplete"),"",IF(O28&lt;2,"Low",IF(O28&lt;3.25,"Medium",IF(O28&lt;4.25,"High","Very High"))))</x:f>
      </x:c>
      <x:c r="Q28" s="14"/>
      <x:c r="R28" s="14" t="str">
        <x:f>IF(OR(O28="",O28="Incomplete"),"",IF(AND(F28&gt;=4,O28&lt;=3.25),"Wave 1 Candidate",IF(O28&gt;=4.25,"Defer / De-risk",IF(O28&gt;=3.25,"Complex Wave","Standard Candidate"))))</x:f>
      </x:c>
      <x:c r="S28" s="14"/>
    </x:row>
    <x:row r="29">
      <x:c r="A29" s="14"/>
      <x:c r="B29" s="14"/>
      <x:c r="C29" s="14"/>
      <x:c r="D29" s="14"/>
      <x:c r="E29" s="1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2" t="str">
        <x:f>IF(COUNTA(F29:N29)=0,"",IF(COUNTA(F29:N29)&lt;9,"Incomplete",ROUND(F29*'Scoring Model'!$D$4+G29*'Scoring Model'!$D$5+H29*'Scoring Model'!$D$6+I29*'Scoring Model'!$D$7+J29*'Scoring Model'!$D$8+K29*'Scoring Model'!$D$9+L29*'Scoring Model'!$D$10+M29*'Scoring Model'!$D$11+N29*'Scoring Model'!$D$12,2)))</x:f>
      </x:c>
      <x:c r="P29" s="14" t="str">
        <x:f>IF(OR(O29="",O29="Incomplete"),"",IF(O29&lt;2,"Low",IF(O29&lt;3.25,"Medium",IF(O29&lt;4.25,"High","Very High"))))</x:f>
      </x:c>
      <x:c r="Q29" s="14"/>
      <x:c r="R29" s="14" t="str">
        <x:f>IF(OR(O29="",O29="Incomplete"),"",IF(AND(F29&gt;=4,O29&lt;=3.25),"Wave 1 Candidate",IF(O29&gt;=4.25,"Defer / De-risk",IF(O29&gt;=3.25,"Complex Wave","Standard Candidate"))))</x:f>
      </x:c>
      <x:c r="S29" s="14"/>
    </x:row>
    <x:row r="30">
      <x:c r="A30" s="14"/>
      <x:c r="B30" s="14"/>
      <x:c r="C30" s="14"/>
      <x:c r="D30" s="14"/>
      <x:c r="E30" s="1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2" t="str">
        <x:f>IF(COUNTA(F30:N30)=0,"",IF(COUNTA(F30:N30)&lt;9,"Incomplete",ROUND(F30*'Scoring Model'!$D$4+G30*'Scoring Model'!$D$5+H30*'Scoring Model'!$D$6+I30*'Scoring Model'!$D$7+J30*'Scoring Model'!$D$8+K30*'Scoring Model'!$D$9+L30*'Scoring Model'!$D$10+M30*'Scoring Model'!$D$11+N30*'Scoring Model'!$D$12,2)))</x:f>
      </x:c>
      <x:c r="P30" s="14" t="str">
        <x:f>IF(OR(O30="",O30="Incomplete"),"",IF(O30&lt;2,"Low",IF(O30&lt;3.25,"Medium",IF(O30&lt;4.25,"High","Very High"))))</x:f>
      </x:c>
      <x:c r="Q30" s="14"/>
      <x:c r="R30" s="14" t="str">
        <x:f>IF(OR(O30="",O30="Incomplete"),"",IF(AND(F30&gt;=4,O30&lt;=3.25),"Wave 1 Candidate",IF(O30&gt;=4.25,"Defer / De-risk",IF(O30&gt;=3.25,"Complex Wave","Standard Candidate"))))</x:f>
      </x:c>
      <x:c r="S30" s="14"/>
    </x:row>
    <x:row r="31">
      <x:c r="A31" s="14"/>
      <x:c r="B31" s="14"/>
      <x:c r="C31" s="14"/>
      <x:c r="D31" s="14"/>
      <x:c r="E31" s="1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2" t="str">
        <x:f>IF(COUNTA(F31:N31)=0,"",IF(COUNTA(F31:N31)&lt;9,"Incomplete",ROUND(F31*'Scoring Model'!$D$4+G31*'Scoring Model'!$D$5+H31*'Scoring Model'!$D$6+I31*'Scoring Model'!$D$7+J31*'Scoring Model'!$D$8+K31*'Scoring Model'!$D$9+L31*'Scoring Model'!$D$10+M31*'Scoring Model'!$D$11+N31*'Scoring Model'!$D$12,2)))</x:f>
      </x:c>
      <x:c r="P31" s="14" t="str">
        <x:f>IF(OR(O31="",O31="Incomplete"),"",IF(O31&lt;2,"Low",IF(O31&lt;3.25,"Medium",IF(O31&lt;4.25,"High","Very High"))))</x:f>
      </x:c>
      <x:c r="Q31" s="14"/>
      <x:c r="R31" s="14" t="str">
        <x:f>IF(OR(O31="",O31="Incomplete"),"",IF(AND(F31&gt;=4,O31&lt;=3.25),"Wave 1 Candidate",IF(O31&gt;=4.25,"Defer / De-risk",IF(O31&gt;=3.25,"Complex Wave","Standard Candidate"))))</x:f>
      </x:c>
      <x:c r="S31" s="14"/>
    </x:row>
    <x:row r="32">
      <x:c r="A32" s="14"/>
      <x:c r="B32" s="14"/>
      <x:c r="C32" s="14"/>
      <x:c r="D32" s="14"/>
      <x:c r="E32" s="1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2" t="str">
        <x:f>IF(COUNTA(F32:N32)=0,"",IF(COUNTA(F32:N32)&lt;9,"Incomplete",ROUND(F32*'Scoring Model'!$D$4+G32*'Scoring Model'!$D$5+H32*'Scoring Model'!$D$6+I32*'Scoring Model'!$D$7+J32*'Scoring Model'!$D$8+K32*'Scoring Model'!$D$9+L32*'Scoring Model'!$D$10+M32*'Scoring Model'!$D$11+N32*'Scoring Model'!$D$12,2)))</x:f>
      </x:c>
      <x:c r="P32" s="14" t="str">
        <x:f>IF(OR(O32="",O32="Incomplete"),"",IF(O32&lt;2,"Low",IF(O32&lt;3.25,"Medium",IF(O32&lt;4.25,"High","Very High"))))</x:f>
      </x:c>
      <x:c r="Q32" s="14"/>
      <x:c r="R32" s="14" t="str">
        <x:f>IF(OR(O32="",O32="Incomplete"),"",IF(AND(F32&gt;=4,O32&lt;=3.25),"Wave 1 Candidate",IF(O32&gt;=4.25,"Defer / De-risk",IF(O32&gt;=3.25,"Complex Wave","Standard Candidate"))))</x:f>
      </x:c>
      <x:c r="S32" s="14"/>
    </x:row>
    <x:row r="33">
      <x:c r="A33" s="14"/>
      <x:c r="B33" s="14"/>
      <x:c r="C33" s="14"/>
      <x:c r="D33" s="14"/>
      <x:c r="E33" s="1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2" t="str">
        <x:f>IF(COUNTA(F33:N33)=0,"",IF(COUNTA(F33:N33)&lt;9,"Incomplete",ROUND(F33*'Scoring Model'!$D$4+G33*'Scoring Model'!$D$5+H33*'Scoring Model'!$D$6+I33*'Scoring Model'!$D$7+J33*'Scoring Model'!$D$8+K33*'Scoring Model'!$D$9+L33*'Scoring Model'!$D$10+M33*'Scoring Model'!$D$11+N33*'Scoring Model'!$D$12,2)))</x:f>
      </x:c>
      <x:c r="P33" s="14" t="str">
        <x:f>IF(OR(O33="",O33="Incomplete"),"",IF(O33&lt;2,"Low",IF(O33&lt;3.25,"Medium",IF(O33&lt;4.25,"High","Very High"))))</x:f>
      </x:c>
      <x:c r="Q33" s="14"/>
      <x:c r="R33" s="14" t="str">
        <x:f>IF(OR(O33="",O33="Incomplete"),"",IF(AND(F33&gt;=4,O33&lt;=3.25),"Wave 1 Candidate",IF(O33&gt;=4.25,"Defer / De-risk",IF(O33&gt;=3.25,"Complex Wave","Standard Candidate"))))</x:f>
      </x:c>
      <x:c r="S33" s="14"/>
    </x:row>
    <x:row r="34">
      <x:c r="A34" s="14"/>
      <x:c r="B34" s="14"/>
      <x:c r="C34" s="14"/>
      <x:c r="D34" s="14"/>
      <x:c r="E34" s="1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2" t="str">
        <x:f>IF(COUNTA(F34:N34)=0,"",IF(COUNTA(F34:N34)&lt;9,"Incomplete",ROUND(F34*'Scoring Model'!$D$4+G34*'Scoring Model'!$D$5+H34*'Scoring Model'!$D$6+I34*'Scoring Model'!$D$7+J34*'Scoring Model'!$D$8+K34*'Scoring Model'!$D$9+L34*'Scoring Model'!$D$10+M34*'Scoring Model'!$D$11+N34*'Scoring Model'!$D$12,2)))</x:f>
      </x:c>
      <x:c r="P34" s="14" t="str">
        <x:f>IF(OR(O34="",O34="Incomplete"),"",IF(O34&lt;2,"Low",IF(O34&lt;3.25,"Medium",IF(O34&lt;4.25,"High","Very High"))))</x:f>
      </x:c>
      <x:c r="Q34" s="14"/>
      <x:c r="R34" s="14" t="str">
        <x:f>IF(OR(O34="",O34="Incomplete"),"",IF(AND(F34&gt;=4,O34&lt;=3.25),"Wave 1 Candidate",IF(O34&gt;=4.25,"Defer / De-risk",IF(O34&gt;=3.25,"Complex Wave","Standard Candidate"))))</x:f>
      </x:c>
      <x:c r="S34" s="14"/>
    </x:row>
    <x:row r="35">
      <x:c r="A35" s="14"/>
      <x:c r="B35" s="14"/>
      <x:c r="C35" s="14"/>
      <x:c r="D35" s="14"/>
      <x:c r="E35" s="1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2" t="str">
        <x:f>IF(COUNTA(F35:N35)=0,"",IF(COUNTA(F35:N35)&lt;9,"Incomplete",ROUND(F35*'Scoring Model'!$D$4+G35*'Scoring Model'!$D$5+H35*'Scoring Model'!$D$6+I35*'Scoring Model'!$D$7+J35*'Scoring Model'!$D$8+K35*'Scoring Model'!$D$9+L35*'Scoring Model'!$D$10+M35*'Scoring Model'!$D$11+N35*'Scoring Model'!$D$12,2)))</x:f>
      </x:c>
      <x:c r="P35" s="14" t="str">
        <x:f>IF(OR(O35="",O35="Incomplete"),"",IF(O35&lt;2,"Low",IF(O35&lt;3.25,"Medium",IF(O35&lt;4.25,"High","Very High"))))</x:f>
      </x:c>
      <x:c r="Q35" s="14"/>
      <x:c r="R35" s="14" t="str">
        <x:f>IF(OR(O35="",O35="Incomplete"),"",IF(AND(F35&gt;=4,O35&lt;=3.25),"Wave 1 Candidate",IF(O35&gt;=4.25,"Defer / De-risk",IF(O35&gt;=3.25,"Complex Wave","Standard Candidate"))))</x:f>
      </x:c>
      <x:c r="S35" s="14"/>
    </x:row>
    <x:row r="36">
      <x:c r="A36" s="14"/>
      <x:c r="B36" s="14"/>
      <x:c r="C36" s="14"/>
      <x:c r="D36" s="14"/>
      <x:c r="E36" s="1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2" t="str">
        <x:f>IF(COUNTA(F36:N36)=0,"",IF(COUNTA(F36:N36)&lt;9,"Incomplete",ROUND(F36*'Scoring Model'!$D$4+G36*'Scoring Model'!$D$5+H36*'Scoring Model'!$D$6+I36*'Scoring Model'!$D$7+J36*'Scoring Model'!$D$8+K36*'Scoring Model'!$D$9+L36*'Scoring Model'!$D$10+M36*'Scoring Model'!$D$11+N36*'Scoring Model'!$D$12,2)))</x:f>
      </x:c>
      <x:c r="P36" s="14" t="str">
        <x:f>IF(OR(O36="",O36="Incomplete"),"",IF(O36&lt;2,"Low",IF(O36&lt;3.25,"Medium",IF(O36&lt;4.25,"High","Very High"))))</x:f>
      </x:c>
      <x:c r="Q36" s="14"/>
      <x:c r="R36" s="14" t="str">
        <x:f>IF(OR(O36="",O36="Incomplete"),"",IF(AND(F36&gt;=4,O36&lt;=3.25),"Wave 1 Candidate",IF(O36&gt;=4.25,"Defer / De-risk",IF(O36&gt;=3.25,"Complex Wave","Standard Candidate"))))</x:f>
      </x:c>
      <x:c r="S36" s="14"/>
    </x:row>
    <x:row r="37">
      <x:c r="A37" s="14"/>
      <x:c r="B37" s="14"/>
      <x:c r="C37" s="14"/>
      <x:c r="D37" s="14"/>
      <x:c r="E37" s="1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2" t="str">
        <x:f>IF(COUNTA(F37:N37)=0,"",IF(COUNTA(F37:N37)&lt;9,"Incomplete",ROUND(F37*'Scoring Model'!$D$4+G37*'Scoring Model'!$D$5+H37*'Scoring Model'!$D$6+I37*'Scoring Model'!$D$7+J37*'Scoring Model'!$D$8+K37*'Scoring Model'!$D$9+L37*'Scoring Model'!$D$10+M37*'Scoring Model'!$D$11+N37*'Scoring Model'!$D$12,2)))</x:f>
      </x:c>
      <x:c r="P37" s="14" t="str">
        <x:f>IF(OR(O37="",O37="Incomplete"),"",IF(O37&lt;2,"Low",IF(O37&lt;3.25,"Medium",IF(O37&lt;4.25,"High","Very High"))))</x:f>
      </x:c>
      <x:c r="Q37" s="14"/>
      <x:c r="R37" s="14" t="str">
        <x:f>IF(OR(O37="",O37="Incomplete"),"",IF(AND(F37&gt;=4,O37&lt;=3.25),"Wave 1 Candidate",IF(O37&gt;=4.25,"Defer / De-risk",IF(O37&gt;=3.25,"Complex Wave","Standard Candidate"))))</x:f>
      </x:c>
      <x:c r="S37" s="14"/>
    </x:row>
    <x:row r="38">
      <x:c r="A38" s="14"/>
      <x:c r="B38" s="14"/>
      <x:c r="C38" s="14"/>
      <x:c r="D38" s="14"/>
      <x:c r="E38" s="1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2" t="str">
        <x:f>IF(COUNTA(F38:N38)=0,"",IF(COUNTA(F38:N38)&lt;9,"Incomplete",ROUND(F38*'Scoring Model'!$D$4+G38*'Scoring Model'!$D$5+H38*'Scoring Model'!$D$6+I38*'Scoring Model'!$D$7+J38*'Scoring Model'!$D$8+K38*'Scoring Model'!$D$9+L38*'Scoring Model'!$D$10+M38*'Scoring Model'!$D$11+N38*'Scoring Model'!$D$12,2)))</x:f>
      </x:c>
      <x:c r="P38" s="14" t="str">
        <x:f>IF(OR(O38="",O38="Incomplete"),"",IF(O38&lt;2,"Low",IF(O38&lt;3.25,"Medium",IF(O38&lt;4.25,"High","Very High"))))</x:f>
      </x:c>
      <x:c r="Q38" s="14"/>
      <x:c r="R38" s="14" t="str">
        <x:f>IF(OR(O38="",O38="Incomplete"),"",IF(AND(F38&gt;=4,O38&lt;=3.25),"Wave 1 Candidate",IF(O38&gt;=4.25,"Defer / De-risk",IF(O38&gt;=3.25,"Complex Wave","Standard Candidate"))))</x:f>
      </x:c>
      <x:c r="S38" s="14"/>
    </x:row>
    <x:row r="39">
      <x:c r="A39" s="14"/>
      <x:c r="B39" s="14"/>
      <x:c r="C39" s="14"/>
      <x:c r="D39" s="14"/>
      <x:c r="E39" s="1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2" t="str">
        <x:f>IF(COUNTA(F39:N39)=0,"",IF(COUNTA(F39:N39)&lt;9,"Incomplete",ROUND(F39*'Scoring Model'!$D$4+G39*'Scoring Model'!$D$5+H39*'Scoring Model'!$D$6+I39*'Scoring Model'!$D$7+J39*'Scoring Model'!$D$8+K39*'Scoring Model'!$D$9+L39*'Scoring Model'!$D$10+M39*'Scoring Model'!$D$11+N39*'Scoring Model'!$D$12,2)))</x:f>
      </x:c>
      <x:c r="P39" s="14" t="str">
        <x:f>IF(OR(O39="",O39="Incomplete"),"",IF(O39&lt;2,"Low",IF(O39&lt;3.25,"Medium",IF(O39&lt;4.25,"High","Very High"))))</x:f>
      </x:c>
      <x:c r="Q39" s="14"/>
      <x:c r="R39" s="14" t="str">
        <x:f>IF(OR(O39="",O39="Incomplete"),"",IF(AND(F39&gt;=4,O39&lt;=3.25),"Wave 1 Candidate",IF(O39&gt;=4.25,"Defer / De-risk",IF(O39&gt;=3.25,"Complex Wave","Standard Candidate"))))</x:f>
      </x:c>
      <x:c r="S39" s="14"/>
    </x:row>
    <x:row r="40">
      <x:c r="A40" s="14"/>
      <x:c r="B40" s="14"/>
      <x:c r="C40" s="14"/>
      <x:c r="D40" s="14"/>
      <x:c r="E40" s="1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2" t="str">
        <x:f>IF(COUNTA(F40:N40)=0,"",IF(COUNTA(F40:N40)&lt;9,"Incomplete",ROUND(F40*'Scoring Model'!$D$4+G40*'Scoring Model'!$D$5+H40*'Scoring Model'!$D$6+I40*'Scoring Model'!$D$7+J40*'Scoring Model'!$D$8+K40*'Scoring Model'!$D$9+L40*'Scoring Model'!$D$10+M40*'Scoring Model'!$D$11+N40*'Scoring Model'!$D$12,2)))</x:f>
      </x:c>
      <x:c r="P40" s="14" t="str">
        <x:f>IF(OR(O40="",O40="Incomplete"),"",IF(O40&lt;2,"Low",IF(O40&lt;3.25,"Medium",IF(O40&lt;4.25,"High","Very High"))))</x:f>
      </x:c>
      <x:c r="Q40" s="14"/>
      <x:c r="R40" s="14" t="str">
        <x:f>IF(OR(O40="",O40="Incomplete"),"",IF(AND(F40&gt;=4,O40&lt;=3.25),"Wave 1 Candidate",IF(O40&gt;=4.25,"Defer / De-risk",IF(O40&gt;=3.25,"Complex Wave","Standard Candidate"))))</x:f>
      </x:c>
      <x:c r="S40" s="14"/>
    </x:row>
    <x:row r="41">
      <x:c r="A41" s="14"/>
      <x:c r="B41" s="14"/>
      <x:c r="C41" s="14"/>
      <x:c r="D41" s="14"/>
      <x:c r="E41" s="1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2" t="str">
        <x:f>IF(COUNTA(F41:N41)=0,"",IF(COUNTA(F41:N41)&lt;9,"Incomplete",ROUND(F41*'Scoring Model'!$D$4+G41*'Scoring Model'!$D$5+H41*'Scoring Model'!$D$6+I41*'Scoring Model'!$D$7+J41*'Scoring Model'!$D$8+K41*'Scoring Model'!$D$9+L41*'Scoring Model'!$D$10+M41*'Scoring Model'!$D$11+N41*'Scoring Model'!$D$12,2)))</x:f>
      </x:c>
      <x:c r="P41" s="14" t="str">
        <x:f>IF(OR(O41="",O41="Incomplete"),"",IF(O41&lt;2,"Low",IF(O41&lt;3.25,"Medium",IF(O41&lt;4.25,"High","Very High"))))</x:f>
      </x:c>
      <x:c r="Q41" s="14"/>
      <x:c r="R41" s="14" t="str">
        <x:f>IF(OR(O41="",O41="Incomplete"),"",IF(AND(F41&gt;=4,O41&lt;=3.25),"Wave 1 Candidate",IF(O41&gt;=4.25,"Defer / De-risk",IF(O41&gt;=3.25,"Complex Wave","Standard Candidate"))))</x:f>
      </x:c>
      <x:c r="S41" s="14"/>
    </x:row>
    <x:row r="42">
      <x:c r="A42" s="14"/>
      <x:c r="B42" s="14"/>
      <x:c r="C42" s="14"/>
      <x:c r="D42" s="14"/>
      <x:c r="E42" s="1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2" t="str">
        <x:f>IF(COUNTA(F42:N42)=0,"",IF(COUNTA(F42:N42)&lt;9,"Incomplete",ROUND(F42*'Scoring Model'!$D$4+G42*'Scoring Model'!$D$5+H42*'Scoring Model'!$D$6+I42*'Scoring Model'!$D$7+J42*'Scoring Model'!$D$8+K42*'Scoring Model'!$D$9+L42*'Scoring Model'!$D$10+M42*'Scoring Model'!$D$11+N42*'Scoring Model'!$D$12,2)))</x:f>
      </x:c>
      <x:c r="P42" s="14" t="str">
        <x:f>IF(OR(O42="",O42="Incomplete"),"",IF(O42&lt;2,"Low",IF(O42&lt;3.25,"Medium",IF(O42&lt;4.25,"High","Very High"))))</x:f>
      </x:c>
      <x:c r="Q42" s="14"/>
      <x:c r="R42" s="14" t="str">
        <x:f>IF(OR(O42="",O42="Incomplete"),"",IF(AND(F42&gt;=4,O42&lt;=3.25),"Wave 1 Candidate",IF(O42&gt;=4.25,"Defer / De-risk",IF(O42&gt;=3.25,"Complex Wave","Standard Candidate"))))</x:f>
      </x:c>
      <x:c r="S42" s="14"/>
    </x:row>
    <x:row r="43">
      <x:c r="A43" s="14"/>
      <x:c r="B43" s="14"/>
      <x:c r="C43" s="14"/>
      <x:c r="D43" s="14"/>
      <x:c r="E43" s="1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2" t="str">
        <x:f>IF(COUNTA(F43:N43)=0,"",IF(COUNTA(F43:N43)&lt;9,"Incomplete",ROUND(F43*'Scoring Model'!$D$4+G43*'Scoring Model'!$D$5+H43*'Scoring Model'!$D$6+I43*'Scoring Model'!$D$7+J43*'Scoring Model'!$D$8+K43*'Scoring Model'!$D$9+L43*'Scoring Model'!$D$10+M43*'Scoring Model'!$D$11+N43*'Scoring Model'!$D$12,2)))</x:f>
      </x:c>
      <x:c r="P43" s="14" t="str">
        <x:f>IF(OR(O43="",O43="Incomplete"),"",IF(O43&lt;2,"Low",IF(O43&lt;3.25,"Medium",IF(O43&lt;4.25,"High","Very High"))))</x:f>
      </x:c>
      <x:c r="Q43" s="14"/>
      <x:c r="R43" s="14" t="str">
        <x:f>IF(OR(O43="",O43="Incomplete"),"",IF(AND(F43&gt;=4,O43&lt;=3.25),"Wave 1 Candidate",IF(O43&gt;=4.25,"Defer / De-risk",IF(O43&gt;=3.25,"Complex Wave","Standard Candidate"))))</x:f>
      </x:c>
      <x:c r="S43" s="14"/>
    </x:row>
    <x:row r="44">
      <x:c r="A44" s="14"/>
      <x:c r="B44" s="14"/>
      <x:c r="C44" s="14"/>
      <x:c r="D44" s="14"/>
      <x:c r="E44" s="1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2" t="str">
        <x:f>IF(COUNTA(F44:N44)=0,"",IF(COUNTA(F44:N44)&lt;9,"Incomplete",ROUND(F44*'Scoring Model'!$D$4+G44*'Scoring Model'!$D$5+H44*'Scoring Model'!$D$6+I44*'Scoring Model'!$D$7+J44*'Scoring Model'!$D$8+K44*'Scoring Model'!$D$9+L44*'Scoring Model'!$D$10+M44*'Scoring Model'!$D$11+N44*'Scoring Model'!$D$12,2)))</x:f>
      </x:c>
      <x:c r="P44" s="14" t="str">
        <x:f>IF(OR(O44="",O44="Incomplete"),"",IF(O44&lt;2,"Low",IF(O44&lt;3.25,"Medium",IF(O44&lt;4.25,"High","Very High"))))</x:f>
      </x:c>
      <x:c r="Q44" s="14"/>
      <x:c r="R44" s="14" t="str">
        <x:f>IF(OR(O44="",O44="Incomplete"),"",IF(AND(F44&gt;=4,O44&lt;=3.25),"Wave 1 Candidate",IF(O44&gt;=4.25,"Defer / De-risk",IF(O44&gt;=3.25,"Complex Wave","Standard Candidate"))))</x:f>
      </x:c>
      <x:c r="S44" s="14"/>
    </x:row>
    <x:row r="45">
      <x:c r="A45" s="14"/>
      <x:c r="B45" s="14"/>
      <x:c r="C45" s="14"/>
      <x:c r="D45" s="14"/>
      <x:c r="E45" s="1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2" t="str">
        <x:f>IF(COUNTA(F45:N45)=0,"",IF(COUNTA(F45:N45)&lt;9,"Incomplete",ROUND(F45*'Scoring Model'!$D$4+G45*'Scoring Model'!$D$5+H45*'Scoring Model'!$D$6+I45*'Scoring Model'!$D$7+J45*'Scoring Model'!$D$8+K45*'Scoring Model'!$D$9+L45*'Scoring Model'!$D$10+M45*'Scoring Model'!$D$11+N45*'Scoring Model'!$D$12,2)))</x:f>
      </x:c>
      <x:c r="P45" s="14" t="str">
        <x:f>IF(OR(O45="",O45="Incomplete"),"",IF(O45&lt;2,"Low",IF(O45&lt;3.25,"Medium",IF(O45&lt;4.25,"High","Very High"))))</x:f>
      </x:c>
      <x:c r="Q45" s="14"/>
      <x:c r="R45" s="14" t="str">
        <x:f>IF(OR(O45="",O45="Incomplete"),"",IF(AND(F45&gt;=4,O45&lt;=3.25),"Wave 1 Candidate",IF(O45&gt;=4.25,"Defer / De-risk",IF(O45&gt;=3.25,"Complex Wave","Standard Candidate"))))</x:f>
      </x:c>
      <x:c r="S45" s="14"/>
    </x:row>
    <x:row r="46">
      <x:c r="A46" s="14"/>
      <x:c r="B46" s="14"/>
      <x:c r="C46" s="14"/>
      <x:c r="D46" s="14"/>
      <x:c r="E46" s="1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2" t="str">
        <x:f>IF(COUNTA(F46:N46)=0,"",IF(COUNTA(F46:N46)&lt;9,"Incomplete",ROUND(F46*'Scoring Model'!$D$4+G46*'Scoring Model'!$D$5+H46*'Scoring Model'!$D$6+I46*'Scoring Model'!$D$7+J46*'Scoring Model'!$D$8+K46*'Scoring Model'!$D$9+L46*'Scoring Model'!$D$10+M46*'Scoring Model'!$D$11+N46*'Scoring Model'!$D$12,2)))</x:f>
      </x:c>
      <x:c r="P46" s="14" t="str">
        <x:f>IF(OR(O46="",O46="Incomplete"),"",IF(O46&lt;2,"Low",IF(O46&lt;3.25,"Medium",IF(O46&lt;4.25,"High","Very High"))))</x:f>
      </x:c>
      <x:c r="Q46" s="14"/>
      <x:c r="R46" s="14" t="str">
        <x:f>IF(OR(O46="",O46="Incomplete"),"",IF(AND(F46&gt;=4,O46&lt;=3.25),"Wave 1 Candidate",IF(O46&gt;=4.25,"Defer / De-risk",IF(O46&gt;=3.25,"Complex Wave","Standard Candidate"))))</x:f>
      </x:c>
      <x:c r="S46" s="14"/>
    </x:row>
    <x:row r="47">
      <x:c r="A47" s="14"/>
      <x:c r="B47" s="14"/>
      <x:c r="C47" s="14"/>
      <x:c r="D47" s="14"/>
      <x:c r="E47" s="1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2" t="str">
        <x:f>IF(COUNTA(F47:N47)=0,"",IF(COUNTA(F47:N47)&lt;9,"Incomplete",ROUND(F47*'Scoring Model'!$D$4+G47*'Scoring Model'!$D$5+H47*'Scoring Model'!$D$6+I47*'Scoring Model'!$D$7+J47*'Scoring Model'!$D$8+K47*'Scoring Model'!$D$9+L47*'Scoring Model'!$D$10+M47*'Scoring Model'!$D$11+N47*'Scoring Model'!$D$12,2)))</x:f>
      </x:c>
      <x:c r="P47" s="14" t="str">
        <x:f>IF(OR(O47="",O47="Incomplete"),"",IF(O47&lt;2,"Low",IF(O47&lt;3.25,"Medium",IF(O47&lt;4.25,"High","Very High"))))</x:f>
      </x:c>
      <x:c r="Q47" s="14"/>
      <x:c r="R47" s="14" t="str">
        <x:f>IF(OR(O47="",O47="Incomplete"),"",IF(AND(F47&gt;=4,O47&lt;=3.25),"Wave 1 Candidate",IF(O47&gt;=4.25,"Defer / De-risk",IF(O47&gt;=3.25,"Complex Wave","Standard Candidate"))))</x:f>
      </x:c>
      <x:c r="S47" s="14"/>
    </x:row>
    <x:row r="48">
      <x:c r="A48" s="14"/>
      <x:c r="B48" s="14"/>
      <x:c r="C48" s="14"/>
      <x:c r="D48" s="14"/>
      <x:c r="E48" s="1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2" t="str">
        <x:f>IF(COUNTA(F48:N48)=0,"",IF(COUNTA(F48:N48)&lt;9,"Incomplete",ROUND(F48*'Scoring Model'!$D$4+G48*'Scoring Model'!$D$5+H48*'Scoring Model'!$D$6+I48*'Scoring Model'!$D$7+J48*'Scoring Model'!$D$8+K48*'Scoring Model'!$D$9+L48*'Scoring Model'!$D$10+M48*'Scoring Model'!$D$11+N48*'Scoring Model'!$D$12,2)))</x:f>
      </x:c>
      <x:c r="P48" s="14" t="str">
        <x:f>IF(OR(O48="",O48="Incomplete"),"",IF(O48&lt;2,"Low",IF(O48&lt;3.25,"Medium",IF(O48&lt;4.25,"High","Very High"))))</x:f>
      </x:c>
      <x:c r="Q48" s="14"/>
      <x:c r="R48" s="14" t="str">
        <x:f>IF(OR(O48="",O48="Incomplete"),"",IF(AND(F48&gt;=4,O48&lt;=3.25),"Wave 1 Candidate",IF(O48&gt;=4.25,"Defer / De-risk",IF(O48&gt;=3.25,"Complex Wave","Standard Candidate"))))</x:f>
      </x:c>
      <x:c r="S48" s="14"/>
    </x:row>
    <x:row r="49">
      <x:c r="A49" s="14"/>
      <x:c r="B49" s="14"/>
      <x:c r="C49" s="14"/>
      <x:c r="D49" s="14"/>
      <x:c r="E49" s="1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2" t="str">
        <x:f>IF(COUNTA(F49:N49)=0,"",IF(COUNTA(F49:N49)&lt;9,"Incomplete",ROUND(F49*'Scoring Model'!$D$4+G49*'Scoring Model'!$D$5+H49*'Scoring Model'!$D$6+I49*'Scoring Model'!$D$7+J49*'Scoring Model'!$D$8+K49*'Scoring Model'!$D$9+L49*'Scoring Model'!$D$10+M49*'Scoring Model'!$D$11+N49*'Scoring Model'!$D$12,2)))</x:f>
      </x:c>
      <x:c r="P49" s="14" t="str">
        <x:f>IF(OR(O49="",O49="Incomplete"),"",IF(O49&lt;2,"Low",IF(O49&lt;3.25,"Medium",IF(O49&lt;4.25,"High","Very High"))))</x:f>
      </x:c>
      <x:c r="Q49" s="14"/>
      <x:c r="R49" s="14" t="str">
        <x:f>IF(OR(O49="",O49="Incomplete"),"",IF(AND(F49&gt;=4,O49&lt;=3.25),"Wave 1 Candidate",IF(O49&gt;=4.25,"Defer / De-risk",IF(O49&gt;=3.25,"Complex Wave","Standard Candidate"))))</x:f>
      </x:c>
      <x:c r="S49" s="14"/>
    </x:row>
    <x:row r="50">
      <x:c r="A50" s="14"/>
      <x:c r="B50" s="14"/>
      <x:c r="C50" s="14"/>
      <x:c r="D50" s="14"/>
      <x:c r="E50" s="1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2" t="str">
        <x:f>IF(COUNTA(F50:N50)=0,"",IF(COUNTA(F50:N50)&lt;9,"Incomplete",ROUND(F50*'Scoring Model'!$D$4+G50*'Scoring Model'!$D$5+H50*'Scoring Model'!$D$6+I50*'Scoring Model'!$D$7+J50*'Scoring Model'!$D$8+K50*'Scoring Model'!$D$9+L50*'Scoring Model'!$D$10+M50*'Scoring Model'!$D$11+N50*'Scoring Model'!$D$12,2)))</x:f>
      </x:c>
      <x:c r="P50" s="14" t="str">
        <x:f>IF(OR(O50="",O50="Incomplete"),"",IF(O50&lt;2,"Low",IF(O50&lt;3.25,"Medium",IF(O50&lt;4.25,"High","Very High"))))</x:f>
      </x:c>
      <x:c r="Q50" s="14"/>
      <x:c r="R50" s="14" t="str">
        <x:f>IF(OR(O50="",O50="Incomplete"),"",IF(AND(F50&gt;=4,O50&lt;=3.25),"Wave 1 Candidate",IF(O50&gt;=4.25,"Defer / De-risk",IF(O50&gt;=3.25,"Complex Wave","Standard Candidate"))))</x:f>
      </x:c>
      <x:c r="S50" s="14"/>
    </x:row>
    <x:row r="51">
      <x:c r="A51" s="14"/>
      <x:c r="B51" s="14"/>
      <x:c r="C51" s="14"/>
      <x:c r="D51" s="14"/>
      <x:c r="E51" s="1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2" t="str">
        <x:f>IF(COUNTA(F51:N51)=0,"",IF(COUNTA(F51:N51)&lt;9,"Incomplete",ROUND(F51*'Scoring Model'!$D$4+G51*'Scoring Model'!$D$5+H51*'Scoring Model'!$D$6+I51*'Scoring Model'!$D$7+J51*'Scoring Model'!$D$8+K51*'Scoring Model'!$D$9+L51*'Scoring Model'!$D$10+M51*'Scoring Model'!$D$11+N51*'Scoring Model'!$D$12,2)))</x:f>
      </x:c>
      <x:c r="P51" s="14" t="str">
        <x:f>IF(OR(O51="",O51="Incomplete"),"",IF(O51&lt;2,"Low",IF(O51&lt;3.25,"Medium",IF(O51&lt;4.25,"High","Very High"))))</x:f>
      </x:c>
      <x:c r="Q51" s="14"/>
      <x:c r="R51" s="14" t="str">
        <x:f>IF(OR(O51="",O51="Incomplete"),"",IF(AND(F51&gt;=4,O51&lt;=3.25),"Wave 1 Candidate",IF(O51&gt;=4.25,"Defer / De-risk",IF(O51&gt;=3.25,"Complex Wave","Standard Candidate"))))</x:f>
      </x:c>
      <x:c r="S51" s="14"/>
    </x:row>
    <x:row r="52">
      <x:c r="A52" s="14"/>
      <x:c r="B52" s="14"/>
      <x:c r="C52" s="14"/>
      <x:c r="D52" s="14"/>
      <x:c r="E52" s="1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2" t="str">
        <x:f>IF(COUNTA(F52:N52)=0,"",IF(COUNTA(F52:N52)&lt;9,"Incomplete",ROUND(F52*'Scoring Model'!$D$4+G52*'Scoring Model'!$D$5+H52*'Scoring Model'!$D$6+I52*'Scoring Model'!$D$7+J52*'Scoring Model'!$D$8+K52*'Scoring Model'!$D$9+L52*'Scoring Model'!$D$10+M52*'Scoring Model'!$D$11+N52*'Scoring Model'!$D$12,2)))</x:f>
      </x:c>
      <x:c r="P52" s="14" t="str">
        <x:f>IF(OR(O52="",O52="Incomplete"),"",IF(O52&lt;2,"Low",IF(O52&lt;3.25,"Medium",IF(O52&lt;4.25,"High","Very High"))))</x:f>
      </x:c>
      <x:c r="Q52" s="14"/>
      <x:c r="R52" s="14" t="str">
        <x:f>IF(OR(O52="",O52="Incomplete"),"",IF(AND(F52&gt;=4,O52&lt;=3.25),"Wave 1 Candidate",IF(O52&gt;=4.25,"Defer / De-risk",IF(O52&gt;=3.25,"Complex Wave","Standard Candidate"))))</x:f>
      </x:c>
      <x:c r="S52" s="14"/>
    </x:row>
    <x:row r="53">
      <x:c r="A53" s="14"/>
      <x:c r="B53" s="14"/>
      <x:c r="C53" s="14"/>
      <x:c r="D53" s="14"/>
      <x:c r="E53" s="1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2" t="str">
        <x:f>IF(COUNTA(F53:N53)=0,"",IF(COUNTA(F53:N53)&lt;9,"Incomplete",ROUND(F53*'Scoring Model'!$D$4+G53*'Scoring Model'!$D$5+H53*'Scoring Model'!$D$6+I53*'Scoring Model'!$D$7+J53*'Scoring Model'!$D$8+K53*'Scoring Model'!$D$9+L53*'Scoring Model'!$D$10+M53*'Scoring Model'!$D$11+N53*'Scoring Model'!$D$12,2)))</x:f>
      </x:c>
      <x:c r="P53" s="14" t="str">
        <x:f>IF(OR(O53="",O53="Incomplete"),"",IF(O53&lt;2,"Low",IF(O53&lt;3.25,"Medium",IF(O53&lt;4.25,"High","Very High"))))</x:f>
      </x:c>
      <x:c r="Q53" s="14"/>
      <x:c r="R53" s="14" t="str">
        <x:f>IF(OR(O53="",O53="Incomplete"),"",IF(AND(F53&gt;=4,O53&lt;=3.25),"Wave 1 Candidate",IF(O53&gt;=4.25,"Defer / De-risk",IF(O53&gt;=3.25,"Complex Wave","Standard Candidate"))))</x:f>
      </x:c>
      <x:c r="S53" s="14"/>
    </x:row>
    <x:row r="54">
      <x:c r="A54" s="14"/>
      <x:c r="B54" s="14"/>
      <x:c r="C54" s="14"/>
      <x:c r="D54" s="14"/>
      <x:c r="E54" s="1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2" t="str">
        <x:f>IF(COUNTA(F54:N54)=0,"",IF(COUNTA(F54:N54)&lt;9,"Incomplete",ROUND(F54*'Scoring Model'!$D$4+G54*'Scoring Model'!$D$5+H54*'Scoring Model'!$D$6+I54*'Scoring Model'!$D$7+J54*'Scoring Model'!$D$8+K54*'Scoring Model'!$D$9+L54*'Scoring Model'!$D$10+M54*'Scoring Model'!$D$11+N54*'Scoring Model'!$D$12,2)))</x:f>
      </x:c>
      <x:c r="P54" s="14" t="str">
        <x:f>IF(OR(O54="",O54="Incomplete"),"",IF(O54&lt;2,"Low",IF(O54&lt;3.25,"Medium",IF(O54&lt;4.25,"High","Very High"))))</x:f>
      </x:c>
      <x:c r="Q54" s="14"/>
      <x:c r="R54" s="14" t="str">
        <x:f>IF(OR(O54="",O54="Incomplete"),"",IF(AND(F54&gt;=4,O54&lt;=3.25),"Wave 1 Candidate",IF(O54&gt;=4.25,"Defer / De-risk",IF(O54&gt;=3.25,"Complex Wave","Standard Candidate"))))</x:f>
      </x:c>
      <x:c r="S54" s="14"/>
    </x:row>
    <x:row r="55">
      <x:c r="A55" s="14"/>
      <x:c r="B55" s="14"/>
      <x:c r="C55" s="14"/>
      <x:c r="D55" s="14"/>
      <x:c r="E55" s="1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2" t="str">
        <x:f>IF(COUNTA(F55:N55)=0,"",IF(COUNTA(F55:N55)&lt;9,"Incomplete",ROUND(F55*'Scoring Model'!$D$4+G55*'Scoring Model'!$D$5+H55*'Scoring Model'!$D$6+I55*'Scoring Model'!$D$7+J55*'Scoring Model'!$D$8+K55*'Scoring Model'!$D$9+L55*'Scoring Model'!$D$10+M55*'Scoring Model'!$D$11+N55*'Scoring Model'!$D$12,2)))</x:f>
      </x:c>
      <x:c r="P55" s="14" t="str">
        <x:f>IF(OR(O55="",O55="Incomplete"),"",IF(O55&lt;2,"Low",IF(O55&lt;3.25,"Medium",IF(O55&lt;4.25,"High","Very High"))))</x:f>
      </x:c>
      <x:c r="Q55" s="14"/>
      <x:c r="R55" s="14" t="str">
        <x:f>IF(OR(O55="",O55="Incomplete"),"",IF(AND(F55&gt;=4,O55&lt;=3.25),"Wave 1 Candidate",IF(O55&gt;=4.25,"Defer / De-risk",IF(O55&gt;=3.25,"Complex Wave","Standard Candidate"))))</x:f>
      </x:c>
      <x:c r="S55" s="14"/>
    </x:row>
    <x:row r="56">
      <x:c r="A56" s="14"/>
      <x:c r="B56" s="14"/>
      <x:c r="C56" s="14"/>
      <x:c r="D56" s="14"/>
      <x:c r="E56" s="1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2" t="str">
        <x:f>IF(COUNTA(F56:N56)=0,"",IF(COUNTA(F56:N56)&lt;9,"Incomplete",ROUND(F56*'Scoring Model'!$D$4+G56*'Scoring Model'!$D$5+H56*'Scoring Model'!$D$6+I56*'Scoring Model'!$D$7+J56*'Scoring Model'!$D$8+K56*'Scoring Model'!$D$9+L56*'Scoring Model'!$D$10+M56*'Scoring Model'!$D$11+N56*'Scoring Model'!$D$12,2)))</x:f>
      </x:c>
      <x:c r="P56" s="14" t="str">
        <x:f>IF(OR(O56="",O56="Incomplete"),"",IF(O56&lt;2,"Low",IF(O56&lt;3.25,"Medium",IF(O56&lt;4.25,"High","Very High"))))</x:f>
      </x:c>
      <x:c r="Q56" s="14"/>
      <x:c r="R56" s="14" t="str">
        <x:f>IF(OR(O56="",O56="Incomplete"),"",IF(AND(F56&gt;=4,O56&lt;=3.25),"Wave 1 Candidate",IF(O56&gt;=4.25,"Defer / De-risk",IF(O56&gt;=3.25,"Complex Wave","Standard Candidate"))))</x:f>
      </x:c>
      <x:c r="S56" s="14"/>
    </x:row>
    <x:row r="57">
      <x:c r="A57" s="14"/>
      <x:c r="B57" s="14"/>
      <x:c r="C57" s="14"/>
      <x:c r="D57" s="14"/>
      <x:c r="E57" s="1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2" t="str">
        <x:f>IF(COUNTA(F57:N57)=0,"",IF(COUNTA(F57:N57)&lt;9,"Incomplete",ROUND(F57*'Scoring Model'!$D$4+G57*'Scoring Model'!$D$5+H57*'Scoring Model'!$D$6+I57*'Scoring Model'!$D$7+J57*'Scoring Model'!$D$8+K57*'Scoring Model'!$D$9+L57*'Scoring Model'!$D$10+M57*'Scoring Model'!$D$11+N57*'Scoring Model'!$D$12,2)))</x:f>
      </x:c>
      <x:c r="P57" s="14" t="str">
        <x:f>IF(OR(O57="",O57="Incomplete"),"",IF(O57&lt;2,"Low",IF(O57&lt;3.25,"Medium",IF(O57&lt;4.25,"High","Very High"))))</x:f>
      </x:c>
      <x:c r="Q57" s="14"/>
      <x:c r="R57" s="14" t="str">
        <x:f>IF(OR(O57="",O57="Incomplete"),"",IF(AND(F57&gt;=4,O57&lt;=3.25),"Wave 1 Candidate",IF(O57&gt;=4.25,"Defer / De-risk",IF(O57&gt;=3.25,"Complex Wave","Standard Candidate"))))</x:f>
      </x:c>
      <x:c r="S57" s="14"/>
    </x:row>
    <x:row r="58">
      <x:c r="A58" s="14"/>
      <x:c r="B58" s="14"/>
      <x:c r="C58" s="14"/>
      <x:c r="D58" s="14"/>
      <x:c r="E58" s="1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2" t="str">
        <x:f>IF(COUNTA(F58:N58)=0,"",IF(COUNTA(F58:N58)&lt;9,"Incomplete",ROUND(F58*'Scoring Model'!$D$4+G58*'Scoring Model'!$D$5+H58*'Scoring Model'!$D$6+I58*'Scoring Model'!$D$7+J58*'Scoring Model'!$D$8+K58*'Scoring Model'!$D$9+L58*'Scoring Model'!$D$10+M58*'Scoring Model'!$D$11+N58*'Scoring Model'!$D$12,2)))</x:f>
      </x:c>
      <x:c r="P58" s="14" t="str">
        <x:f>IF(OR(O58="",O58="Incomplete"),"",IF(O58&lt;2,"Low",IF(O58&lt;3.25,"Medium",IF(O58&lt;4.25,"High","Very High"))))</x:f>
      </x:c>
      <x:c r="Q58" s="14"/>
      <x:c r="R58" s="14" t="str">
        <x:f>IF(OR(O58="",O58="Incomplete"),"",IF(AND(F58&gt;=4,O58&lt;=3.25),"Wave 1 Candidate",IF(O58&gt;=4.25,"Defer / De-risk",IF(O58&gt;=3.25,"Complex Wave","Standard Candidate"))))</x:f>
      </x:c>
      <x:c r="S58" s="14"/>
    </x:row>
    <x:row r="59">
      <x:c r="A59" s="14"/>
      <x:c r="B59" s="14"/>
      <x:c r="C59" s="14"/>
      <x:c r="D59" s="14"/>
      <x:c r="E59" s="1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2" t="str">
        <x:f>IF(COUNTA(F59:N59)=0,"",IF(COUNTA(F59:N59)&lt;9,"Incomplete",ROUND(F59*'Scoring Model'!$D$4+G59*'Scoring Model'!$D$5+H59*'Scoring Model'!$D$6+I59*'Scoring Model'!$D$7+J59*'Scoring Model'!$D$8+K59*'Scoring Model'!$D$9+L59*'Scoring Model'!$D$10+M59*'Scoring Model'!$D$11+N59*'Scoring Model'!$D$12,2)))</x:f>
      </x:c>
      <x:c r="P59" s="14" t="str">
        <x:f>IF(OR(O59="",O59="Incomplete"),"",IF(O59&lt;2,"Low",IF(O59&lt;3.25,"Medium",IF(O59&lt;4.25,"High","Very High"))))</x:f>
      </x:c>
      <x:c r="Q59" s="14"/>
      <x:c r="R59" s="14" t="str">
        <x:f>IF(OR(O59="",O59="Incomplete"),"",IF(AND(F59&gt;=4,O59&lt;=3.25),"Wave 1 Candidate",IF(O59&gt;=4.25,"Defer / De-risk",IF(O59&gt;=3.25,"Complex Wave","Standard Candidate"))))</x:f>
      </x:c>
      <x:c r="S59" s="14"/>
    </x:row>
    <x:row r="60">
      <x:c r="A60" s="14"/>
      <x:c r="B60" s="14"/>
      <x:c r="C60" s="14"/>
      <x:c r="D60" s="14"/>
      <x:c r="E60" s="1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2" t="str">
        <x:f>IF(COUNTA(F60:N60)=0,"",IF(COUNTA(F60:N60)&lt;9,"Incomplete",ROUND(F60*'Scoring Model'!$D$4+G60*'Scoring Model'!$D$5+H60*'Scoring Model'!$D$6+I60*'Scoring Model'!$D$7+J60*'Scoring Model'!$D$8+K60*'Scoring Model'!$D$9+L60*'Scoring Model'!$D$10+M60*'Scoring Model'!$D$11+N60*'Scoring Model'!$D$12,2)))</x:f>
      </x:c>
      <x:c r="P60" s="14" t="str">
        <x:f>IF(OR(O60="",O60="Incomplete"),"",IF(O60&lt;2,"Low",IF(O60&lt;3.25,"Medium",IF(O60&lt;4.25,"High","Very High"))))</x:f>
      </x:c>
      <x:c r="Q60" s="14"/>
      <x:c r="R60" s="14" t="str">
        <x:f>IF(OR(O60="",O60="Incomplete"),"",IF(AND(F60&gt;=4,O60&lt;=3.25),"Wave 1 Candidate",IF(O60&gt;=4.25,"Defer / De-risk",IF(O60&gt;=3.25,"Complex Wave","Standard Candidate"))))</x:f>
      </x:c>
      <x:c r="S60" s="14"/>
    </x:row>
    <x:row r="61">
      <x:c r="A61" s="14"/>
      <x:c r="B61" s="14"/>
      <x:c r="C61" s="14"/>
      <x:c r="D61" s="14"/>
      <x:c r="E61" s="1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2" t="str">
        <x:f>IF(COUNTA(F61:N61)=0,"",IF(COUNTA(F61:N61)&lt;9,"Incomplete",ROUND(F61*'Scoring Model'!$D$4+G61*'Scoring Model'!$D$5+H61*'Scoring Model'!$D$6+I61*'Scoring Model'!$D$7+J61*'Scoring Model'!$D$8+K61*'Scoring Model'!$D$9+L61*'Scoring Model'!$D$10+M61*'Scoring Model'!$D$11+N61*'Scoring Model'!$D$12,2)))</x:f>
      </x:c>
      <x:c r="P61" s="14" t="str">
        <x:f>IF(OR(O61="",O61="Incomplete"),"",IF(O61&lt;2,"Low",IF(O61&lt;3.25,"Medium",IF(O61&lt;4.25,"High","Very High"))))</x:f>
      </x:c>
      <x:c r="Q61" s="14"/>
      <x:c r="R61" s="14" t="str">
        <x:f>IF(OR(O61="",O61="Incomplete"),"",IF(AND(F61&gt;=4,O61&lt;=3.25),"Wave 1 Candidate",IF(O61&gt;=4.25,"Defer / De-risk",IF(O61&gt;=3.25,"Complex Wave","Standard Candidate"))))</x:f>
      </x:c>
      <x:c r="S61" s="14"/>
    </x:row>
    <x:row r="62">
      <x:c r="A62" s="14"/>
      <x:c r="B62" s="14"/>
      <x:c r="C62" s="14"/>
      <x:c r="D62" s="14"/>
      <x:c r="E62" s="1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2" t="str">
        <x:f>IF(COUNTA(F62:N62)=0,"",IF(COUNTA(F62:N62)&lt;9,"Incomplete",ROUND(F62*'Scoring Model'!$D$4+G62*'Scoring Model'!$D$5+H62*'Scoring Model'!$D$6+I62*'Scoring Model'!$D$7+J62*'Scoring Model'!$D$8+K62*'Scoring Model'!$D$9+L62*'Scoring Model'!$D$10+M62*'Scoring Model'!$D$11+N62*'Scoring Model'!$D$12,2)))</x:f>
      </x:c>
      <x:c r="P62" s="14" t="str">
        <x:f>IF(OR(O62="",O62="Incomplete"),"",IF(O62&lt;2,"Low",IF(O62&lt;3.25,"Medium",IF(O62&lt;4.25,"High","Very High"))))</x:f>
      </x:c>
      <x:c r="Q62" s="14"/>
      <x:c r="R62" s="14" t="str">
        <x:f>IF(OR(O62="",O62="Incomplete"),"",IF(AND(F62&gt;=4,O62&lt;=3.25),"Wave 1 Candidate",IF(O62&gt;=4.25,"Defer / De-risk",IF(O62&gt;=3.25,"Complex Wave","Standard Candidate"))))</x:f>
      </x:c>
      <x:c r="S62" s="14"/>
    </x:row>
    <x:row r="63">
      <x:c r="A63" s="14"/>
      <x:c r="B63" s="14"/>
      <x:c r="C63" s="14"/>
      <x:c r="D63" s="14"/>
      <x:c r="E63" s="1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2" t="str">
        <x:f>IF(COUNTA(F63:N63)=0,"",IF(COUNTA(F63:N63)&lt;9,"Incomplete",ROUND(F63*'Scoring Model'!$D$4+G63*'Scoring Model'!$D$5+H63*'Scoring Model'!$D$6+I63*'Scoring Model'!$D$7+J63*'Scoring Model'!$D$8+K63*'Scoring Model'!$D$9+L63*'Scoring Model'!$D$10+M63*'Scoring Model'!$D$11+N63*'Scoring Model'!$D$12,2)))</x:f>
      </x:c>
      <x:c r="P63" s="14" t="str">
        <x:f>IF(OR(O63="",O63="Incomplete"),"",IF(O63&lt;2,"Low",IF(O63&lt;3.25,"Medium",IF(O63&lt;4.25,"High","Very High"))))</x:f>
      </x:c>
      <x:c r="Q63" s="14"/>
      <x:c r="R63" s="14" t="str">
        <x:f>IF(OR(O63="",O63="Incomplete"),"",IF(AND(F63&gt;=4,O63&lt;=3.25),"Wave 1 Candidate",IF(O63&gt;=4.25,"Defer / De-risk",IF(O63&gt;=3.25,"Complex Wave","Standard Candidate"))))</x:f>
      </x:c>
      <x:c r="S63" s="14"/>
    </x:row>
    <x:row r="64">
      <x:c r="A64" s="14"/>
      <x:c r="B64" s="14"/>
      <x:c r="C64" s="14"/>
      <x:c r="D64" s="14"/>
      <x:c r="E64" s="1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2" t="str">
        <x:f>IF(COUNTA(F64:N64)=0,"",IF(COUNTA(F64:N64)&lt;9,"Incomplete",ROUND(F64*'Scoring Model'!$D$4+G64*'Scoring Model'!$D$5+H64*'Scoring Model'!$D$6+I64*'Scoring Model'!$D$7+J64*'Scoring Model'!$D$8+K64*'Scoring Model'!$D$9+L64*'Scoring Model'!$D$10+M64*'Scoring Model'!$D$11+N64*'Scoring Model'!$D$12,2)))</x:f>
      </x:c>
      <x:c r="P64" s="14" t="str">
        <x:f>IF(OR(O64="",O64="Incomplete"),"",IF(O64&lt;2,"Low",IF(O64&lt;3.25,"Medium",IF(O64&lt;4.25,"High","Very High"))))</x:f>
      </x:c>
      <x:c r="Q64" s="14"/>
      <x:c r="R64" s="14" t="str">
        <x:f>IF(OR(O64="",O64="Incomplete"),"",IF(AND(F64&gt;=4,O64&lt;=3.25),"Wave 1 Candidate",IF(O64&gt;=4.25,"Defer / De-risk",IF(O64&gt;=3.25,"Complex Wave","Standard Candidate"))))</x:f>
      </x:c>
      <x:c r="S64" s="14"/>
    </x:row>
    <x:row r="65">
      <x:c r="A65" s="14"/>
      <x:c r="B65" s="14"/>
      <x:c r="C65" s="14"/>
      <x:c r="D65" s="14"/>
      <x:c r="E65" s="1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2" t="str">
        <x:f>IF(COUNTA(F65:N65)=0,"",IF(COUNTA(F65:N65)&lt;9,"Incomplete",ROUND(F65*'Scoring Model'!$D$4+G65*'Scoring Model'!$D$5+H65*'Scoring Model'!$D$6+I65*'Scoring Model'!$D$7+J65*'Scoring Model'!$D$8+K65*'Scoring Model'!$D$9+L65*'Scoring Model'!$D$10+M65*'Scoring Model'!$D$11+N65*'Scoring Model'!$D$12,2)))</x:f>
      </x:c>
      <x:c r="P65" s="14" t="str">
        <x:f>IF(OR(O65="",O65="Incomplete"),"",IF(O65&lt;2,"Low",IF(O65&lt;3.25,"Medium",IF(O65&lt;4.25,"High","Very High"))))</x:f>
      </x:c>
      <x:c r="Q65" s="14"/>
      <x:c r="R65" s="14" t="str">
        <x:f>IF(OR(O65="",O65="Incomplete"),"",IF(AND(F65&gt;=4,O65&lt;=3.25),"Wave 1 Candidate",IF(O65&gt;=4.25,"Defer / De-risk",IF(O65&gt;=3.25,"Complex Wave","Standard Candidate"))))</x:f>
      </x:c>
      <x:c r="S65" s="14"/>
    </x:row>
    <x:row r="66">
      <x:c r="A66" s="14"/>
      <x:c r="B66" s="14"/>
      <x:c r="C66" s="14"/>
      <x:c r="D66" s="14"/>
      <x:c r="E66" s="1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2" t="str">
        <x:f>IF(COUNTA(F66:N66)=0,"",IF(COUNTA(F66:N66)&lt;9,"Incomplete",ROUND(F66*'Scoring Model'!$D$4+G66*'Scoring Model'!$D$5+H66*'Scoring Model'!$D$6+I66*'Scoring Model'!$D$7+J66*'Scoring Model'!$D$8+K66*'Scoring Model'!$D$9+L66*'Scoring Model'!$D$10+M66*'Scoring Model'!$D$11+N66*'Scoring Model'!$D$12,2)))</x:f>
      </x:c>
      <x:c r="P66" s="14" t="str">
        <x:f>IF(OR(O66="",O66="Incomplete"),"",IF(O66&lt;2,"Low",IF(O66&lt;3.25,"Medium",IF(O66&lt;4.25,"High","Very High"))))</x:f>
      </x:c>
      <x:c r="Q66" s="14"/>
      <x:c r="R66" s="14" t="str">
        <x:f>IF(OR(O66="",O66="Incomplete"),"",IF(AND(F66&gt;=4,O66&lt;=3.25),"Wave 1 Candidate",IF(O66&gt;=4.25,"Defer / De-risk",IF(O66&gt;=3.25,"Complex Wave","Standard Candidate"))))</x:f>
      </x:c>
      <x:c r="S66" s="14"/>
    </x:row>
    <x:row r="67">
      <x:c r="A67" s="14"/>
      <x:c r="B67" s="14"/>
      <x:c r="C67" s="14"/>
      <x:c r="D67" s="14"/>
      <x:c r="E67" s="1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2" t="str">
        <x:f>IF(COUNTA(F67:N67)=0,"",IF(COUNTA(F67:N67)&lt;9,"Incomplete",ROUND(F67*'Scoring Model'!$D$4+G67*'Scoring Model'!$D$5+H67*'Scoring Model'!$D$6+I67*'Scoring Model'!$D$7+J67*'Scoring Model'!$D$8+K67*'Scoring Model'!$D$9+L67*'Scoring Model'!$D$10+M67*'Scoring Model'!$D$11+N67*'Scoring Model'!$D$12,2)))</x:f>
      </x:c>
      <x:c r="P67" s="14" t="str">
        <x:f>IF(OR(O67="",O67="Incomplete"),"",IF(O67&lt;2,"Low",IF(O67&lt;3.25,"Medium",IF(O67&lt;4.25,"High","Very High"))))</x:f>
      </x:c>
      <x:c r="Q67" s="14"/>
      <x:c r="R67" s="14" t="str">
        <x:f>IF(OR(O67="",O67="Incomplete"),"",IF(AND(F67&gt;=4,O67&lt;=3.25),"Wave 1 Candidate",IF(O67&gt;=4.25,"Defer / De-risk",IF(O67&gt;=3.25,"Complex Wave","Standard Candidate"))))</x:f>
      </x:c>
      <x:c r="S67" s="14"/>
    </x:row>
    <x:row r="68">
      <x:c r="A68" s="14"/>
      <x:c r="B68" s="14"/>
      <x:c r="C68" s="14"/>
      <x:c r="D68" s="14"/>
      <x:c r="E68" s="1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2" t="str">
        <x:f>IF(COUNTA(F68:N68)=0,"",IF(COUNTA(F68:N68)&lt;9,"Incomplete",ROUND(F68*'Scoring Model'!$D$4+G68*'Scoring Model'!$D$5+H68*'Scoring Model'!$D$6+I68*'Scoring Model'!$D$7+J68*'Scoring Model'!$D$8+K68*'Scoring Model'!$D$9+L68*'Scoring Model'!$D$10+M68*'Scoring Model'!$D$11+N68*'Scoring Model'!$D$12,2)))</x:f>
      </x:c>
      <x:c r="P68" s="14" t="str">
        <x:f>IF(OR(O68="",O68="Incomplete"),"",IF(O68&lt;2,"Low",IF(O68&lt;3.25,"Medium",IF(O68&lt;4.25,"High","Very High"))))</x:f>
      </x:c>
      <x:c r="Q68" s="14"/>
      <x:c r="R68" s="14" t="str">
        <x:f>IF(OR(O68="",O68="Incomplete"),"",IF(AND(F68&gt;=4,O68&lt;=3.25),"Wave 1 Candidate",IF(O68&gt;=4.25,"Defer / De-risk",IF(O68&gt;=3.25,"Complex Wave","Standard Candidate"))))</x:f>
      </x:c>
      <x:c r="S68" s="14"/>
    </x:row>
    <x:row r="69">
      <x:c r="A69" s="14"/>
      <x:c r="B69" s="14"/>
      <x:c r="C69" s="14"/>
      <x:c r="D69" s="14"/>
      <x:c r="E69" s="1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2" t="str">
        <x:f>IF(COUNTA(F69:N69)=0,"",IF(COUNTA(F69:N69)&lt;9,"Incomplete",ROUND(F69*'Scoring Model'!$D$4+G69*'Scoring Model'!$D$5+H69*'Scoring Model'!$D$6+I69*'Scoring Model'!$D$7+J69*'Scoring Model'!$D$8+K69*'Scoring Model'!$D$9+L69*'Scoring Model'!$D$10+M69*'Scoring Model'!$D$11+N69*'Scoring Model'!$D$12,2)))</x:f>
      </x:c>
      <x:c r="P69" s="14" t="str">
        <x:f>IF(OR(O69="",O69="Incomplete"),"",IF(O69&lt;2,"Low",IF(O69&lt;3.25,"Medium",IF(O69&lt;4.25,"High","Very High"))))</x:f>
      </x:c>
      <x:c r="Q69" s="14"/>
      <x:c r="R69" s="14" t="str">
        <x:f>IF(OR(O69="",O69="Incomplete"),"",IF(AND(F69&gt;=4,O69&lt;=3.25),"Wave 1 Candidate",IF(O69&gt;=4.25,"Defer / De-risk",IF(O69&gt;=3.25,"Complex Wave","Standard Candidate"))))</x:f>
      </x:c>
      <x:c r="S69" s="14"/>
    </x:row>
    <x:row r="70">
      <x:c r="A70" s="14"/>
      <x:c r="B70" s="14"/>
      <x:c r="C70" s="14"/>
      <x:c r="D70" s="14"/>
      <x:c r="E70" s="1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2" t="str">
        <x:f>IF(COUNTA(F70:N70)=0,"",IF(COUNTA(F70:N70)&lt;9,"Incomplete",ROUND(F70*'Scoring Model'!$D$4+G70*'Scoring Model'!$D$5+H70*'Scoring Model'!$D$6+I70*'Scoring Model'!$D$7+J70*'Scoring Model'!$D$8+K70*'Scoring Model'!$D$9+L70*'Scoring Model'!$D$10+M70*'Scoring Model'!$D$11+N70*'Scoring Model'!$D$12,2)))</x:f>
      </x:c>
      <x:c r="P70" s="14" t="str">
        <x:f>IF(OR(O70="",O70="Incomplete"),"",IF(O70&lt;2,"Low",IF(O70&lt;3.25,"Medium",IF(O70&lt;4.25,"High","Very High"))))</x:f>
      </x:c>
      <x:c r="Q70" s="14"/>
      <x:c r="R70" s="14" t="str">
        <x:f>IF(OR(O70="",O70="Incomplete"),"",IF(AND(F70&gt;=4,O70&lt;=3.25),"Wave 1 Candidate",IF(O70&gt;=4.25,"Defer / De-risk",IF(O70&gt;=3.25,"Complex Wave","Standard Candidate"))))</x:f>
      </x:c>
      <x:c r="S70" s="14"/>
    </x:row>
    <x:row r="71">
      <x:c r="A71" s="14"/>
      <x:c r="B71" s="14"/>
      <x:c r="C71" s="14"/>
      <x:c r="D71" s="14"/>
      <x:c r="E71" s="1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2" t="str">
        <x:f>IF(COUNTA(F71:N71)=0,"",IF(COUNTA(F71:N71)&lt;9,"Incomplete",ROUND(F71*'Scoring Model'!$D$4+G71*'Scoring Model'!$D$5+H71*'Scoring Model'!$D$6+I71*'Scoring Model'!$D$7+J71*'Scoring Model'!$D$8+K71*'Scoring Model'!$D$9+L71*'Scoring Model'!$D$10+M71*'Scoring Model'!$D$11+N71*'Scoring Model'!$D$12,2)))</x:f>
      </x:c>
      <x:c r="P71" s="14" t="str">
        <x:f>IF(OR(O71="",O71="Incomplete"),"",IF(O71&lt;2,"Low",IF(O71&lt;3.25,"Medium",IF(O71&lt;4.25,"High","Very High"))))</x:f>
      </x:c>
      <x:c r="Q71" s="14"/>
      <x:c r="R71" s="14" t="str">
        <x:f>IF(OR(O71="",O71="Incomplete"),"",IF(AND(F71&gt;=4,O71&lt;=3.25),"Wave 1 Candidate",IF(O71&gt;=4.25,"Defer / De-risk",IF(O71&gt;=3.25,"Complex Wave","Standard Candidate"))))</x:f>
      </x:c>
      <x:c r="S71" s="14"/>
    </x:row>
    <x:row r="72">
      <x:c r="A72" s="14"/>
      <x:c r="B72" s="14"/>
      <x:c r="C72" s="14"/>
      <x:c r="D72" s="14"/>
      <x:c r="E72" s="1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2" t="str">
        <x:f>IF(COUNTA(F72:N72)=0,"",IF(COUNTA(F72:N72)&lt;9,"Incomplete",ROUND(F72*'Scoring Model'!$D$4+G72*'Scoring Model'!$D$5+H72*'Scoring Model'!$D$6+I72*'Scoring Model'!$D$7+J72*'Scoring Model'!$D$8+K72*'Scoring Model'!$D$9+L72*'Scoring Model'!$D$10+M72*'Scoring Model'!$D$11+N72*'Scoring Model'!$D$12,2)))</x:f>
      </x:c>
      <x:c r="P72" s="14" t="str">
        <x:f>IF(OR(O72="",O72="Incomplete"),"",IF(O72&lt;2,"Low",IF(O72&lt;3.25,"Medium",IF(O72&lt;4.25,"High","Very High"))))</x:f>
      </x:c>
      <x:c r="Q72" s="14"/>
      <x:c r="R72" s="14" t="str">
        <x:f>IF(OR(O72="",O72="Incomplete"),"",IF(AND(F72&gt;=4,O72&lt;=3.25),"Wave 1 Candidate",IF(O72&gt;=4.25,"Defer / De-risk",IF(O72&gt;=3.25,"Complex Wave","Standard Candidate"))))</x:f>
      </x:c>
      <x:c r="S72" s="14"/>
    </x:row>
    <x:row r="73">
      <x:c r="A73" s="14"/>
      <x:c r="B73" s="14"/>
      <x:c r="C73" s="14"/>
      <x:c r="D73" s="14"/>
      <x:c r="E73" s="1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2" t="str">
        <x:f>IF(COUNTA(F73:N73)=0,"",IF(COUNTA(F73:N73)&lt;9,"Incomplete",ROUND(F73*'Scoring Model'!$D$4+G73*'Scoring Model'!$D$5+H73*'Scoring Model'!$D$6+I73*'Scoring Model'!$D$7+J73*'Scoring Model'!$D$8+K73*'Scoring Model'!$D$9+L73*'Scoring Model'!$D$10+M73*'Scoring Model'!$D$11+N73*'Scoring Model'!$D$12,2)))</x:f>
      </x:c>
      <x:c r="P73" s="14" t="str">
        <x:f>IF(OR(O73="",O73="Incomplete"),"",IF(O73&lt;2,"Low",IF(O73&lt;3.25,"Medium",IF(O73&lt;4.25,"High","Very High"))))</x:f>
      </x:c>
      <x:c r="Q73" s="14"/>
      <x:c r="R73" s="14" t="str">
        <x:f>IF(OR(O73="",O73="Incomplete"),"",IF(AND(F73&gt;=4,O73&lt;=3.25),"Wave 1 Candidate",IF(O73&gt;=4.25,"Defer / De-risk",IF(O73&gt;=3.25,"Complex Wave","Standard Candidate"))))</x:f>
      </x:c>
      <x:c r="S73" s="14"/>
    </x:row>
    <x:row r="74">
      <x:c r="A74" s="14"/>
      <x:c r="B74" s="14"/>
      <x:c r="C74" s="14"/>
      <x:c r="D74" s="14"/>
      <x:c r="E74" s="1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2" t="str">
        <x:f>IF(COUNTA(F74:N74)=0,"",IF(COUNTA(F74:N74)&lt;9,"Incomplete",ROUND(F74*'Scoring Model'!$D$4+G74*'Scoring Model'!$D$5+H74*'Scoring Model'!$D$6+I74*'Scoring Model'!$D$7+J74*'Scoring Model'!$D$8+K74*'Scoring Model'!$D$9+L74*'Scoring Model'!$D$10+M74*'Scoring Model'!$D$11+N74*'Scoring Model'!$D$12,2)))</x:f>
      </x:c>
      <x:c r="P74" s="14" t="str">
        <x:f>IF(OR(O74="",O74="Incomplete"),"",IF(O74&lt;2,"Low",IF(O74&lt;3.25,"Medium",IF(O74&lt;4.25,"High","Very High"))))</x:f>
      </x:c>
      <x:c r="Q74" s="14"/>
      <x:c r="R74" s="14" t="str">
        <x:f>IF(OR(O74="",O74="Incomplete"),"",IF(AND(F74&gt;=4,O74&lt;=3.25),"Wave 1 Candidate",IF(O74&gt;=4.25,"Defer / De-risk",IF(O74&gt;=3.25,"Complex Wave","Standard Candidate"))))</x:f>
      </x:c>
      <x:c r="S74" s="14"/>
    </x:row>
    <x:row r="75">
      <x:c r="A75" s="14"/>
      <x:c r="B75" s="14"/>
      <x:c r="C75" s="14"/>
      <x:c r="D75" s="14"/>
      <x:c r="E75" s="1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2" t="str">
        <x:f>IF(COUNTA(F75:N75)=0,"",IF(COUNTA(F75:N75)&lt;9,"Incomplete",ROUND(F75*'Scoring Model'!$D$4+G75*'Scoring Model'!$D$5+H75*'Scoring Model'!$D$6+I75*'Scoring Model'!$D$7+J75*'Scoring Model'!$D$8+K75*'Scoring Model'!$D$9+L75*'Scoring Model'!$D$10+M75*'Scoring Model'!$D$11+N75*'Scoring Model'!$D$12,2)))</x:f>
      </x:c>
      <x:c r="P75" s="14" t="str">
        <x:f>IF(OR(O75="",O75="Incomplete"),"",IF(O75&lt;2,"Low",IF(O75&lt;3.25,"Medium",IF(O75&lt;4.25,"High","Very High"))))</x:f>
      </x:c>
      <x:c r="Q75" s="14"/>
      <x:c r="R75" s="14" t="str">
        <x:f>IF(OR(O75="",O75="Incomplete"),"",IF(AND(F75&gt;=4,O75&lt;=3.25),"Wave 1 Candidate",IF(O75&gt;=4.25,"Defer / De-risk",IF(O75&gt;=3.25,"Complex Wave","Standard Candidate"))))</x:f>
      </x:c>
      <x:c r="S75" s="14"/>
    </x:row>
    <x:row r="76">
      <x:c r="A76" s="14"/>
      <x:c r="B76" s="14"/>
      <x:c r="C76" s="14"/>
      <x:c r="D76" s="14"/>
      <x:c r="E76" s="1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2" t="str">
        <x:f>IF(COUNTA(F76:N76)=0,"",IF(COUNTA(F76:N76)&lt;9,"Incomplete",ROUND(F76*'Scoring Model'!$D$4+G76*'Scoring Model'!$D$5+H76*'Scoring Model'!$D$6+I76*'Scoring Model'!$D$7+J76*'Scoring Model'!$D$8+K76*'Scoring Model'!$D$9+L76*'Scoring Model'!$D$10+M76*'Scoring Model'!$D$11+N76*'Scoring Model'!$D$12,2)))</x:f>
      </x:c>
      <x:c r="P76" s="14" t="str">
        <x:f>IF(OR(O76="",O76="Incomplete"),"",IF(O76&lt;2,"Low",IF(O76&lt;3.25,"Medium",IF(O76&lt;4.25,"High","Very High"))))</x:f>
      </x:c>
      <x:c r="Q76" s="14"/>
      <x:c r="R76" s="14" t="str">
        <x:f>IF(OR(O76="",O76="Incomplete"),"",IF(AND(F76&gt;=4,O76&lt;=3.25),"Wave 1 Candidate",IF(O76&gt;=4.25,"Defer / De-risk",IF(O76&gt;=3.25,"Complex Wave","Standard Candidate"))))</x:f>
      </x:c>
      <x:c r="S76" s="14"/>
    </x:row>
    <x:row r="77">
      <x:c r="A77" s="14"/>
      <x:c r="B77" s="14"/>
      <x:c r="C77" s="14"/>
      <x:c r="D77" s="14"/>
      <x:c r="E77" s="1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2" t="str">
        <x:f>IF(COUNTA(F77:N77)=0,"",IF(COUNTA(F77:N77)&lt;9,"Incomplete",ROUND(F77*'Scoring Model'!$D$4+G77*'Scoring Model'!$D$5+H77*'Scoring Model'!$D$6+I77*'Scoring Model'!$D$7+J77*'Scoring Model'!$D$8+K77*'Scoring Model'!$D$9+L77*'Scoring Model'!$D$10+M77*'Scoring Model'!$D$11+N77*'Scoring Model'!$D$12,2)))</x:f>
      </x:c>
      <x:c r="P77" s="14" t="str">
        <x:f>IF(OR(O77="",O77="Incomplete"),"",IF(O77&lt;2,"Low",IF(O77&lt;3.25,"Medium",IF(O77&lt;4.25,"High","Very High"))))</x:f>
      </x:c>
      <x:c r="Q77" s="14"/>
      <x:c r="R77" s="14" t="str">
        <x:f>IF(OR(O77="",O77="Incomplete"),"",IF(AND(F77&gt;=4,O77&lt;=3.25),"Wave 1 Candidate",IF(O77&gt;=4.25,"Defer / De-risk",IF(O77&gt;=3.25,"Complex Wave","Standard Candidate"))))</x:f>
      </x:c>
      <x:c r="S77" s="14"/>
    </x:row>
    <x:row r="78">
      <x:c r="A78" s="14"/>
      <x:c r="B78" s="14"/>
      <x:c r="C78" s="14"/>
      <x:c r="D78" s="14"/>
      <x:c r="E78" s="1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2" t="str">
        <x:f>IF(COUNTA(F78:N78)=0,"",IF(COUNTA(F78:N78)&lt;9,"Incomplete",ROUND(F78*'Scoring Model'!$D$4+G78*'Scoring Model'!$D$5+H78*'Scoring Model'!$D$6+I78*'Scoring Model'!$D$7+J78*'Scoring Model'!$D$8+K78*'Scoring Model'!$D$9+L78*'Scoring Model'!$D$10+M78*'Scoring Model'!$D$11+N78*'Scoring Model'!$D$12,2)))</x:f>
      </x:c>
      <x:c r="P78" s="14" t="str">
        <x:f>IF(OR(O78="",O78="Incomplete"),"",IF(O78&lt;2,"Low",IF(O78&lt;3.25,"Medium",IF(O78&lt;4.25,"High","Very High"))))</x:f>
      </x:c>
      <x:c r="Q78" s="14"/>
      <x:c r="R78" s="14" t="str">
        <x:f>IF(OR(O78="",O78="Incomplete"),"",IF(AND(F78&gt;=4,O78&lt;=3.25),"Wave 1 Candidate",IF(O78&gt;=4.25,"Defer / De-risk",IF(O78&gt;=3.25,"Complex Wave","Standard Candidate"))))</x:f>
      </x:c>
      <x:c r="S78" s="14"/>
    </x:row>
    <x:row r="79">
      <x:c r="A79" s="14"/>
      <x:c r="B79" s="14"/>
      <x:c r="C79" s="14"/>
      <x:c r="D79" s="14"/>
      <x:c r="E79" s="1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2" t="str">
        <x:f>IF(COUNTA(F79:N79)=0,"",IF(COUNTA(F79:N79)&lt;9,"Incomplete",ROUND(F79*'Scoring Model'!$D$4+G79*'Scoring Model'!$D$5+H79*'Scoring Model'!$D$6+I79*'Scoring Model'!$D$7+J79*'Scoring Model'!$D$8+K79*'Scoring Model'!$D$9+L79*'Scoring Model'!$D$10+M79*'Scoring Model'!$D$11+N79*'Scoring Model'!$D$12,2)))</x:f>
      </x:c>
      <x:c r="P79" s="14" t="str">
        <x:f>IF(OR(O79="",O79="Incomplete"),"",IF(O79&lt;2,"Low",IF(O79&lt;3.25,"Medium",IF(O79&lt;4.25,"High","Very High"))))</x:f>
      </x:c>
      <x:c r="Q79" s="14"/>
      <x:c r="R79" s="14" t="str">
        <x:f>IF(OR(O79="",O79="Incomplete"),"",IF(AND(F79&gt;=4,O79&lt;=3.25),"Wave 1 Candidate",IF(O79&gt;=4.25,"Defer / De-risk",IF(O79&gt;=3.25,"Complex Wave","Standard Candidate"))))</x:f>
      </x:c>
      <x:c r="S79" s="14"/>
    </x:row>
    <x:row r="80">
      <x:c r="A80" s="14"/>
      <x:c r="B80" s="14"/>
      <x:c r="C80" s="14"/>
      <x:c r="D80" s="14"/>
      <x:c r="E80" s="1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2" t="str">
        <x:f>IF(COUNTA(F80:N80)=0,"",IF(COUNTA(F80:N80)&lt;9,"Incomplete",ROUND(F80*'Scoring Model'!$D$4+G80*'Scoring Model'!$D$5+H80*'Scoring Model'!$D$6+I80*'Scoring Model'!$D$7+J80*'Scoring Model'!$D$8+K80*'Scoring Model'!$D$9+L80*'Scoring Model'!$D$10+M80*'Scoring Model'!$D$11+N80*'Scoring Model'!$D$12,2)))</x:f>
      </x:c>
      <x:c r="P80" s="14" t="str">
        <x:f>IF(OR(O80="",O80="Incomplete"),"",IF(O80&lt;2,"Low",IF(O80&lt;3.25,"Medium",IF(O80&lt;4.25,"High","Very High"))))</x:f>
      </x:c>
      <x:c r="Q80" s="14"/>
      <x:c r="R80" s="14" t="str">
        <x:f>IF(OR(O80="",O80="Incomplete"),"",IF(AND(F80&gt;=4,O80&lt;=3.25),"Wave 1 Candidate",IF(O80&gt;=4.25,"Defer / De-risk",IF(O80&gt;=3.25,"Complex Wave","Standard Candidate"))))</x:f>
      </x:c>
      <x:c r="S80" s="14"/>
    </x:row>
    <x:row r="81">
      <x:c r="A81" s="14"/>
      <x:c r="B81" s="14"/>
      <x:c r="C81" s="14"/>
      <x:c r="D81" s="14"/>
      <x:c r="E81" s="1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2" t="str">
        <x:f>IF(COUNTA(F81:N81)=0,"",IF(COUNTA(F81:N81)&lt;9,"Incomplete",ROUND(F81*'Scoring Model'!$D$4+G81*'Scoring Model'!$D$5+H81*'Scoring Model'!$D$6+I81*'Scoring Model'!$D$7+J81*'Scoring Model'!$D$8+K81*'Scoring Model'!$D$9+L81*'Scoring Model'!$D$10+M81*'Scoring Model'!$D$11+N81*'Scoring Model'!$D$12,2)))</x:f>
      </x:c>
      <x:c r="P81" s="14" t="str">
        <x:f>IF(OR(O81="",O81="Incomplete"),"",IF(O81&lt;2,"Low",IF(O81&lt;3.25,"Medium",IF(O81&lt;4.25,"High","Very High"))))</x:f>
      </x:c>
      <x:c r="Q81" s="14"/>
      <x:c r="R81" s="14" t="str">
        <x:f>IF(OR(O81="",O81="Incomplete"),"",IF(AND(F81&gt;=4,O81&lt;=3.25),"Wave 1 Candidate",IF(O81&gt;=4.25,"Defer / De-risk",IF(O81&gt;=3.25,"Complex Wave","Standard Candidate"))))</x:f>
      </x:c>
      <x:c r="S81" s="14"/>
    </x:row>
    <x:row r="82">
      <x:c r="A82" s="14"/>
      <x:c r="B82" s="14"/>
      <x:c r="C82" s="14"/>
      <x:c r="D82" s="14"/>
      <x:c r="E82" s="1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2" t="str">
        <x:f>IF(COUNTA(F82:N82)=0,"",IF(COUNTA(F82:N82)&lt;9,"Incomplete",ROUND(F82*'Scoring Model'!$D$4+G82*'Scoring Model'!$D$5+H82*'Scoring Model'!$D$6+I82*'Scoring Model'!$D$7+J82*'Scoring Model'!$D$8+K82*'Scoring Model'!$D$9+L82*'Scoring Model'!$D$10+M82*'Scoring Model'!$D$11+N82*'Scoring Model'!$D$12,2)))</x:f>
      </x:c>
      <x:c r="P82" s="14" t="str">
        <x:f>IF(OR(O82="",O82="Incomplete"),"",IF(O82&lt;2,"Low",IF(O82&lt;3.25,"Medium",IF(O82&lt;4.25,"High","Very High"))))</x:f>
      </x:c>
      <x:c r="Q82" s="14"/>
      <x:c r="R82" s="14" t="str">
        <x:f>IF(OR(O82="",O82="Incomplete"),"",IF(AND(F82&gt;=4,O82&lt;=3.25),"Wave 1 Candidate",IF(O82&gt;=4.25,"Defer / De-risk",IF(O82&gt;=3.25,"Complex Wave","Standard Candidate"))))</x:f>
      </x:c>
      <x:c r="S82" s="14"/>
    </x:row>
    <x:row r="83">
      <x:c r="A83" s="14"/>
      <x:c r="B83" s="14"/>
      <x:c r="C83" s="14"/>
      <x:c r="D83" s="14"/>
      <x:c r="E83" s="1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2" t="str">
        <x:f>IF(COUNTA(F83:N83)=0,"",IF(COUNTA(F83:N83)&lt;9,"Incomplete",ROUND(F83*'Scoring Model'!$D$4+G83*'Scoring Model'!$D$5+H83*'Scoring Model'!$D$6+I83*'Scoring Model'!$D$7+J83*'Scoring Model'!$D$8+K83*'Scoring Model'!$D$9+L83*'Scoring Model'!$D$10+M83*'Scoring Model'!$D$11+N83*'Scoring Model'!$D$12,2)))</x:f>
      </x:c>
      <x:c r="P83" s="14" t="str">
        <x:f>IF(OR(O83="",O83="Incomplete"),"",IF(O83&lt;2,"Low",IF(O83&lt;3.25,"Medium",IF(O83&lt;4.25,"High","Very High"))))</x:f>
      </x:c>
      <x:c r="Q83" s="14"/>
      <x:c r="R83" s="14" t="str">
        <x:f>IF(OR(O83="",O83="Incomplete"),"",IF(AND(F83&gt;=4,O83&lt;=3.25),"Wave 1 Candidate",IF(O83&gt;=4.25,"Defer / De-risk",IF(O83&gt;=3.25,"Complex Wave","Standard Candidate"))))</x:f>
      </x:c>
      <x:c r="S83" s="14"/>
    </x:row>
    <x:row r="84">
      <x:c r="A84" s="14"/>
      <x:c r="B84" s="14"/>
      <x:c r="C84" s="14"/>
      <x:c r="D84" s="14"/>
      <x:c r="E84" s="1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2" t="str">
        <x:f>IF(COUNTA(F84:N84)=0,"",IF(COUNTA(F84:N84)&lt;9,"Incomplete",ROUND(F84*'Scoring Model'!$D$4+G84*'Scoring Model'!$D$5+H84*'Scoring Model'!$D$6+I84*'Scoring Model'!$D$7+J84*'Scoring Model'!$D$8+K84*'Scoring Model'!$D$9+L84*'Scoring Model'!$D$10+M84*'Scoring Model'!$D$11+N84*'Scoring Model'!$D$12,2)))</x:f>
      </x:c>
      <x:c r="P84" s="14" t="str">
        <x:f>IF(OR(O84="",O84="Incomplete"),"",IF(O84&lt;2,"Low",IF(O84&lt;3.25,"Medium",IF(O84&lt;4.25,"High","Very High"))))</x:f>
      </x:c>
      <x:c r="Q84" s="14"/>
      <x:c r="R84" s="14" t="str">
        <x:f>IF(OR(O84="",O84="Incomplete"),"",IF(AND(F84&gt;=4,O84&lt;=3.25),"Wave 1 Candidate",IF(O84&gt;=4.25,"Defer / De-risk",IF(O84&gt;=3.25,"Complex Wave","Standard Candidate"))))</x:f>
      </x:c>
      <x:c r="S84" s="14"/>
    </x:row>
    <x:row r="85">
      <x:c r="A85" s="14"/>
      <x:c r="B85" s="14"/>
      <x:c r="C85" s="14"/>
      <x:c r="D85" s="14"/>
      <x:c r="E85" s="1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2" t="str">
        <x:f>IF(COUNTA(F85:N85)=0,"",IF(COUNTA(F85:N85)&lt;9,"Incomplete",ROUND(F85*'Scoring Model'!$D$4+G85*'Scoring Model'!$D$5+H85*'Scoring Model'!$D$6+I85*'Scoring Model'!$D$7+J85*'Scoring Model'!$D$8+K85*'Scoring Model'!$D$9+L85*'Scoring Model'!$D$10+M85*'Scoring Model'!$D$11+N85*'Scoring Model'!$D$12,2)))</x:f>
      </x:c>
      <x:c r="P85" s="14" t="str">
        <x:f>IF(OR(O85="",O85="Incomplete"),"",IF(O85&lt;2,"Low",IF(O85&lt;3.25,"Medium",IF(O85&lt;4.25,"High","Very High"))))</x:f>
      </x:c>
      <x:c r="Q85" s="14"/>
      <x:c r="R85" s="14" t="str">
        <x:f>IF(OR(O85="",O85="Incomplete"),"",IF(AND(F85&gt;=4,O85&lt;=3.25),"Wave 1 Candidate",IF(O85&gt;=4.25,"Defer / De-risk",IF(O85&gt;=3.25,"Complex Wave","Standard Candidate"))))</x:f>
      </x:c>
      <x:c r="S85" s="14"/>
    </x:row>
    <x:row r="86">
      <x:c r="A86" s="14"/>
      <x:c r="B86" s="14"/>
      <x:c r="C86" s="14"/>
      <x:c r="D86" s="14"/>
      <x:c r="E86" s="1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2" t="str">
        <x:f>IF(COUNTA(F86:N86)=0,"",IF(COUNTA(F86:N86)&lt;9,"Incomplete",ROUND(F86*'Scoring Model'!$D$4+G86*'Scoring Model'!$D$5+H86*'Scoring Model'!$D$6+I86*'Scoring Model'!$D$7+J86*'Scoring Model'!$D$8+K86*'Scoring Model'!$D$9+L86*'Scoring Model'!$D$10+M86*'Scoring Model'!$D$11+N86*'Scoring Model'!$D$12,2)))</x:f>
      </x:c>
      <x:c r="P86" s="14" t="str">
        <x:f>IF(OR(O86="",O86="Incomplete"),"",IF(O86&lt;2,"Low",IF(O86&lt;3.25,"Medium",IF(O86&lt;4.25,"High","Very High"))))</x:f>
      </x:c>
      <x:c r="Q86" s="14"/>
      <x:c r="R86" s="14" t="str">
        <x:f>IF(OR(O86="",O86="Incomplete"),"",IF(AND(F86&gt;=4,O86&lt;=3.25),"Wave 1 Candidate",IF(O86&gt;=4.25,"Defer / De-risk",IF(O86&gt;=3.25,"Complex Wave","Standard Candidate"))))</x:f>
      </x:c>
      <x:c r="S86" s="14"/>
    </x:row>
    <x:row r="87">
      <x:c r="A87" s="14"/>
      <x:c r="B87" s="14"/>
      <x:c r="C87" s="14"/>
      <x:c r="D87" s="14"/>
      <x:c r="E87" s="1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2" t="str">
        <x:f>IF(COUNTA(F87:N87)=0,"",IF(COUNTA(F87:N87)&lt;9,"Incomplete",ROUND(F87*'Scoring Model'!$D$4+G87*'Scoring Model'!$D$5+H87*'Scoring Model'!$D$6+I87*'Scoring Model'!$D$7+J87*'Scoring Model'!$D$8+K87*'Scoring Model'!$D$9+L87*'Scoring Model'!$D$10+M87*'Scoring Model'!$D$11+N87*'Scoring Model'!$D$12,2)))</x:f>
      </x:c>
      <x:c r="P87" s="14" t="str">
        <x:f>IF(OR(O87="",O87="Incomplete"),"",IF(O87&lt;2,"Low",IF(O87&lt;3.25,"Medium",IF(O87&lt;4.25,"High","Very High"))))</x:f>
      </x:c>
      <x:c r="Q87" s="14"/>
      <x:c r="R87" s="14" t="str">
        <x:f>IF(OR(O87="",O87="Incomplete"),"",IF(AND(F87&gt;=4,O87&lt;=3.25),"Wave 1 Candidate",IF(O87&gt;=4.25,"Defer / De-risk",IF(O87&gt;=3.25,"Complex Wave","Standard Candidate"))))</x:f>
      </x:c>
      <x:c r="S87" s="14"/>
    </x:row>
    <x:row r="88">
      <x:c r="A88" s="14"/>
      <x:c r="B88" s="14"/>
      <x:c r="C88" s="14"/>
      <x:c r="D88" s="14"/>
      <x:c r="E88" s="1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2" t="str">
        <x:f>IF(COUNTA(F88:N88)=0,"",IF(COUNTA(F88:N88)&lt;9,"Incomplete",ROUND(F88*'Scoring Model'!$D$4+G88*'Scoring Model'!$D$5+H88*'Scoring Model'!$D$6+I88*'Scoring Model'!$D$7+J88*'Scoring Model'!$D$8+K88*'Scoring Model'!$D$9+L88*'Scoring Model'!$D$10+M88*'Scoring Model'!$D$11+N88*'Scoring Model'!$D$12,2)))</x:f>
      </x:c>
      <x:c r="P88" s="14" t="str">
        <x:f>IF(OR(O88="",O88="Incomplete"),"",IF(O88&lt;2,"Low",IF(O88&lt;3.25,"Medium",IF(O88&lt;4.25,"High","Very High"))))</x:f>
      </x:c>
      <x:c r="Q88" s="14"/>
      <x:c r="R88" s="14" t="str">
        <x:f>IF(OR(O88="",O88="Incomplete"),"",IF(AND(F88&gt;=4,O88&lt;=3.25),"Wave 1 Candidate",IF(O88&gt;=4.25,"Defer / De-risk",IF(O88&gt;=3.25,"Complex Wave","Standard Candidate"))))</x:f>
      </x:c>
      <x:c r="S88" s="14"/>
    </x:row>
    <x:row r="89">
      <x:c r="A89" s="14"/>
      <x:c r="B89" s="14"/>
      <x:c r="C89" s="14"/>
      <x:c r="D89" s="14"/>
      <x:c r="E89" s="1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2" t="str">
        <x:f>IF(COUNTA(F89:N89)=0,"",IF(COUNTA(F89:N89)&lt;9,"Incomplete",ROUND(F89*'Scoring Model'!$D$4+G89*'Scoring Model'!$D$5+H89*'Scoring Model'!$D$6+I89*'Scoring Model'!$D$7+J89*'Scoring Model'!$D$8+K89*'Scoring Model'!$D$9+L89*'Scoring Model'!$D$10+M89*'Scoring Model'!$D$11+N89*'Scoring Model'!$D$12,2)))</x:f>
      </x:c>
      <x:c r="P89" s="14" t="str">
        <x:f>IF(OR(O89="",O89="Incomplete"),"",IF(O89&lt;2,"Low",IF(O89&lt;3.25,"Medium",IF(O89&lt;4.25,"High","Very High"))))</x:f>
      </x:c>
      <x:c r="Q89" s="14"/>
      <x:c r="R89" s="14" t="str">
        <x:f>IF(OR(O89="",O89="Incomplete"),"",IF(AND(F89&gt;=4,O89&lt;=3.25),"Wave 1 Candidate",IF(O89&gt;=4.25,"Defer / De-risk",IF(O89&gt;=3.25,"Complex Wave","Standard Candidate"))))</x:f>
      </x:c>
      <x:c r="S89" s="14"/>
    </x:row>
    <x:row r="90">
      <x:c r="A90" s="14"/>
      <x:c r="B90" s="14"/>
      <x:c r="C90" s="14"/>
      <x:c r="D90" s="14"/>
      <x:c r="E90" s="1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2" t="str">
        <x:f>IF(COUNTA(F90:N90)=0,"",IF(COUNTA(F90:N90)&lt;9,"Incomplete",ROUND(F90*'Scoring Model'!$D$4+G90*'Scoring Model'!$D$5+H90*'Scoring Model'!$D$6+I90*'Scoring Model'!$D$7+J90*'Scoring Model'!$D$8+K90*'Scoring Model'!$D$9+L90*'Scoring Model'!$D$10+M90*'Scoring Model'!$D$11+N90*'Scoring Model'!$D$12,2)))</x:f>
      </x:c>
      <x:c r="P90" s="14" t="str">
        <x:f>IF(OR(O90="",O90="Incomplete"),"",IF(O90&lt;2,"Low",IF(O90&lt;3.25,"Medium",IF(O90&lt;4.25,"High","Very High"))))</x:f>
      </x:c>
      <x:c r="Q90" s="14"/>
      <x:c r="R90" s="14" t="str">
        <x:f>IF(OR(O90="",O90="Incomplete"),"",IF(AND(F90&gt;=4,O90&lt;=3.25),"Wave 1 Candidate",IF(O90&gt;=4.25,"Defer / De-risk",IF(O90&gt;=3.25,"Complex Wave","Standard Candidate"))))</x:f>
      </x:c>
      <x:c r="S90" s="14"/>
    </x:row>
    <x:row r="91">
      <x:c r="A91" s="14"/>
      <x:c r="B91" s="14"/>
      <x:c r="C91" s="14"/>
      <x:c r="D91" s="14"/>
      <x:c r="E91" s="1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2" t="str">
        <x:f>IF(COUNTA(F91:N91)=0,"",IF(COUNTA(F91:N91)&lt;9,"Incomplete",ROUND(F91*'Scoring Model'!$D$4+G91*'Scoring Model'!$D$5+H91*'Scoring Model'!$D$6+I91*'Scoring Model'!$D$7+J91*'Scoring Model'!$D$8+K91*'Scoring Model'!$D$9+L91*'Scoring Model'!$D$10+M91*'Scoring Model'!$D$11+N91*'Scoring Model'!$D$12,2)))</x:f>
      </x:c>
      <x:c r="P91" s="14" t="str">
        <x:f>IF(OR(O91="",O91="Incomplete"),"",IF(O91&lt;2,"Low",IF(O91&lt;3.25,"Medium",IF(O91&lt;4.25,"High","Very High"))))</x:f>
      </x:c>
      <x:c r="Q91" s="14"/>
      <x:c r="R91" s="14" t="str">
        <x:f>IF(OR(O91="",O91="Incomplete"),"",IF(AND(F91&gt;=4,O91&lt;=3.25),"Wave 1 Candidate",IF(O91&gt;=4.25,"Defer / De-risk",IF(O91&gt;=3.25,"Complex Wave","Standard Candidate"))))</x:f>
      </x:c>
      <x:c r="S91" s="14"/>
    </x:row>
    <x:row r="92">
      <x:c r="A92" s="14"/>
      <x:c r="B92" s="14"/>
      <x:c r="C92" s="14"/>
      <x:c r="D92" s="14"/>
      <x:c r="E92" s="1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2" t="str">
        <x:f>IF(COUNTA(F92:N92)=0,"",IF(COUNTA(F92:N92)&lt;9,"Incomplete",ROUND(F92*'Scoring Model'!$D$4+G92*'Scoring Model'!$D$5+H92*'Scoring Model'!$D$6+I92*'Scoring Model'!$D$7+J92*'Scoring Model'!$D$8+K92*'Scoring Model'!$D$9+L92*'Scoring Model'!$D$10+M92*'Scoring Model'!$D$11+N92*'Scoring Model'!$D$12,2)))</x:f>
      </x:c>
      <x:c r="P92" s="14" t="str">
        <x:f>IF(OR(O92="",O92="Incomplete"),"",IF(O92&lt;2,"Low",IF(O92&lt;3.25,"Medium",IF(O92&lt;4.25,"High","Very High"))))</x:f>
      </x:c>
      <x:c r="Q92" s="14"/>
      <x:c r="R92" s="14" t="str">
        <x:f>IF(OR(O92="",O92="Incomplete"),"",IF(AND(F92&gt;=4,O92&lt;=3.25),"Wave 1 Candidate",IF(O92&gt;=4.25,"Defer / De-risk",IF(O92&gt;=3.25,"Complex Wave","Standard Candidate"))))</x:f>
      </x:c>
      <x:c r="S92" s="14"/>
    </x:row>
    <x:row r="93">
      <x:c r="A93" s="14"/>
      <x:c r="B93" s="14"/>
      <x:c r="C93" s="14"/>
      <x:c r="D93" s="14"/>
      <x:c r="E93" s="1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2" t="str">
        <x:f>IF(COUNTA(F93:N93)=0,"",IF(COUNTA(F93:N93)&lt;9,"Incomplete",ROUND(F93*'Scoring Model'!$D$4+G93*'Scoring Model'!$D$5+H93*'Scoring Model'!$D$6+I93*'Scoring Model'!$D$7+J93*'Scoring Model'!$D$8+K93*'Scoring Model'!$D$9+L93*'Scoring Model'!$D$10+M93*'Scoring Model'!$D$11+N93*'Scoring Model'!$D$12,2)))</x:f>
      </x:c>
      <x:c r="P93" s="14" t="str">
        <x:f>IF(OR(O93="",O93="Incomplete"),"",IF(O93&lt;2,"Low",IF(O93&lt;3.25,"Medium",IF(O93&lt;4.25,"High","Very High"))))</x:f>
      </x:c>
      <x:c r="Q93" s="14"/>
      <x:c r="R93" s="14" t="str">
        <x:f>IF(OR(O93="",O93="Incomplete"),"",IF(AND(F93&gt;=4,O93&lt;=3.25),"Wave 1 Candidate",IF(O93&gt;=4.25,"Defer / De-risk",IF(O93&gt;=3.25,"Complex Wave","Standard Candidate"))))</x:f>
      </x:c>
      <x:c r="S93" s="14"/>
    </x:row>
    <x:row r="94">
      <x:c r="A94" s="14"/>
      <x:c r="B94" s="14"/>
      <x:c r="C94" s="14"/>
      <x:c r="D94" s="14"/>
      <x:c r="E94" s="1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2" t="str">
        <x:f>IF(COUNTA(F94:N94)=0,"",IF(COUNTA(F94:N94)&lt;9,"Incomplete",ROUND(F94*'Scoring Model'!$D$4+G94*'Scoring Model'!$D$5+H94*'Scoring Model'!$D$6+I94*'Scoring Model'!$D$7+J94*'Scoring Model'!$D$8+K94*'Scoring Model'!$D$9+L94*'Scoring Model'!$D$10+M94*'Scoring Model'!$D$11+N94*'Scoring Model'!$D$12,2)))</x:f>
      </x:c>
      <x:c r="P94" s="14" t="str">
        <x:f>IF(OR(O94="",O94="Incomplete"),"",IF(O94&lt;2,"Low",IF(O94&lt;3.25,"Medium",IF(O94&lt;4.25,"High","Very High"))))</x:f>
      </x:c>
      <x:c r="Q94" s="14"/>
      <x:c r="R94" s="14" t="str">
        <x:f>IF(OR(O94="",O94="Incomplete"),"",IF(AND(F94&gt;=4,O94&lt;=3.25),"Wave 1 Candidate",IF(O94&gt;=4.25,"Defer / De-risk",IF(O94&gt;=3.25,"Complex Wave","Standard Candidate"))))</x:f>
      </x:c>
      <x:c r="S94" s="14"/>
    </x:row>
    <x:row r="95">
      <x:c r="A95" s="14"/>
      <x:c r="B95" s="14"/>
      <x:c r="C95" s="14"/>
      <x:c r="D95" s="14"/>
      <x:c r="E95" s="1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2" t="str">
        <x:f>IF(COUNTA(F95:N95)=0,"",IF(COUNTA(F95:N95)&lt;9,"Incomplete",ROUND(F95*'Scoring Model'!$D$4+G95*'Scoring Model'!$D$5+H95*'Scoring Model'!$D$6+I95*'Scoring Model'!$D$7+J95*'Scoring Model'!$D$8+K95*'Scoring Model'!$D$9+L95*'Scoring Model'!$D$10+M95*'Scoring Model'!$D$11+N95*'Scoring Model'!$D$12,2)))</x:f>
      </x:c>
      <x:c r="P95" s="14" t="str">
        <x:f>IF(OR(O95="",O95="Incomplete"),"",IF(O95&lt;2,"Low",IF(O95&lt;3.25,"Medium",IF(O95&lt;4.25,"High","Very High"))))</x:f>
      </x:c>
      <x:c r="Q95" s="14"/>
      <x:c r="R95" s="14" t="str">
        <x:f>IF(OR(O95="",O95="Incomplete"),"",IF(AND(F95&gt;=4,O95&lt;=3.25),"Wave 1 Candidate",IF(O95&gt;=4.25,"Defer / De-risk",IF(O95&gt;=3.25,"Complex Wave","Standard Candidate"))))</x:f>
      </x:c>
      <x:c r="S95" s="14"/>
    </x:row>
    <x:row r="96">
      <x:c r="A96" s="14"/>
      <x:c r="B96" s="14"/>
      <x:c r="C96" s="14"/>
      <x:c r="D96" s="14"/>
      <x:c r="E96" s="1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2" t="str">
        <x:f>IF(COUNTA(F96:N96)=0,"",IF(COUNTA(F96:N96)&lt;9,"Incomplete",ROUND(F96*'Scoring Model'!$D$4+G96*'Scoring Model'!$D$5+H96*'Scoring Model'!$D$6+I96*'Scoring Model'!$D$7+J96*'Scoring Model'!$D$8+K96*'Scoring Model'!$D$9+L96*'Scoring Model'!$D$10+M96*'Scoring Model'!$D$11+N96*'Scoring Model'!$D$12,2)))</x:f>
      </x:c>
      <x:c r="P96" s="14" t="str">
        <x:f>IF(OR(O96="",O96="Incomplete"),"",IF(O96&lt;2,"Low",IF(O96&lt;3.25,"Medium",IF(O96&lt;4.25,"High","Very High"))))</x:f>
      </x:c>
      <x:c r="Q96" s="14"/>
      <x:c r="R96" s="14" t="str">
        <x:f>IF(OR(O96="",O96="Incomplete"),"",IF(AND(F96&gt;=4,O96&lt;=3.25),"Wave 1 Candidate",IF(O96&gt;=4.25,"Defer / De-risk",IF(O96&gt;=3.25,"Complex Wave","Standard Candidate"))))</x:f>
      </x:c>
      <x:c r="S96" s="14"/>
    </x:row>
    <x:row r="97">
      <x:c r="A97" s="14"/>
      <x:c r="B97" s="14"/>
      <x:c r="C97" s="14"/>
      <x:c r="D97" s="14"/>
      <x:c r="E97" s="1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2" t="str">
        <x:f>IF(COUNTA(F97:N97)=0,"",IF(COUNTA(F97:N97)&lt;9,"Incomplete",ROUND(F97*'Scoring Model'!$D$4+G97*'Scoring Model'!$D$5+H97*'Scoring Model'!$D$6+I97*'Scoring Model'!$D$7+J97*'Scoring Model'!$D$8+K97*'Scoring Model'!$D$9+L97*'Scoring Model'!$D$10+M97*'Scoring Model'!$D$11+N97*'Scoring Model'!$D$12,2)))</x:f>
      </x:c>
      <x:c r="P97" s="14" t="str">
        <x:f>IF(OR(O97="",O97="Incomplete"),"",IF(O97&lt;2,"Low",IF(O97&lt;3.25,"Medium",IF(O97&lt;4.25,"High","Very High"))))</x:f>
      </x:c>
      <x:c r="Q97" s="14"/>
      <x:c r="R97" s="14" t="str">
        <x:f>IF(OR(O97="",O97="Incomplete"),"",IF(AND(F97&gt;=4,O97&lt;=3.25),"Wave 1 Candidate",IF(O97&gt;=4.25,"Defer / De-risk",IF(O97&gt;=3.25,"Complex Wave","Standard Candidate"))))</x:f>
      </x:c>
      <x:c r="S97" s="14"/>
    </x:row>
    <x:row r="98">
      <x:c r="A98" s="14"/>
      <x:c r="B98" s="14"/>
      <x:c r="C98" s="14"/>
      <x:c r="D98" s="14"/>
      <x:c r="E98" s="1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2" t="str">
        <x:f>IF(COUNTA(F98:N98)=0,"",IF(COUNTA(F98:N98)&lt;9,"Incomplete",ROUND(F98*'Scoring Model'!$D$4+G98*'Scoring Model'!$D$5+H98*'Scoring Model'!$D$6+I98*'Scoring Model'!$D$7+J98*'Scoring Model'!$D$8+K98*'Scoring Model'!$D$9+L98*'Scoring Model'!$D$10+M98*'Scoring Model'!$D$11+N98*'Scoring Model'!$D$12,2)))</x:f>
      </x:c>
      <x:c r="P98" s="14" t="str">
        <x:f>IF(OR(O98="",O98="Incomplete"),"",IF(O98&lt;2,"Low",IF(O98&lt;3.25,"Medium",IF(O98&lt;4.25,"High","Very High"))))</x:f>
      </x:c>
      <x:c r="Q98" s="14"/>
      <x:c r="R98" s="14" t="str">
        <x:f>IF(OR(O98="",O98="Incomplete"),"",IF(AND(F98&gt;=4,O98&lt;=3.25),"Wave 1 Candidate",IF(O98&gt;=4.25,"Defer / De-risk",IF(O98&gt;=3.25,"Complex Wave","Standard Candidate"))))</x:f>
      </x:c>
      <x:c r="S98" s="14"/>
    </x:row>
    <x:row r="99">
      <x:c r="A99" s="14"/>
      <x:c r="B99" s="14"/>
      <x:c r="C99" s="14"/>
      <x:c r="D99" s="14"/>
      <x:c r="E99" s="1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2" t="str">
        <x:f>IF(COUNTA(F99:N99)=0,"",IF(COUNTA(F99:N99)&lt;9,"Incomplete",ROUND(F99*'Scoring Model'!$D$4+G99*'Scoring Model'!$D$5+H99*'Scoring Model'!$D$6+I99*'Scoring Model'!$D$7+J99*'Scoring Model'!$D$8+K99*'Scoring Model'!$D$9+L99*'Scoring Model'!$D$10+M99*'Scoring Model'!$D$11+N99*'Scoring Model'!$D$12,2)))</x:f>
      </x:c>
      <x:c r="P99" s="14" t="str">
        <x:f>IF(OR(O99="",O99="Incomplete"),"",IF(O99&lt;2,"Low",IF(O99&lt;3.25,"Medium",IF(O99&lt;4.25,"High","Very High"))))</x:f>
      </x:c>
      <x:c r="Q99" s="14"/>
      <x:c r="R99" s="14" t="str">
        <x:f>IF(OR(O99="",O99="Incomplete"),"",IF(AND(F99&gt;=4,O99&lt;=3.25),"Wave 1 Candidate",IF(O99&gt;=4.25,"Defer / De-risk",IF(O99&gt;=3.25,"Complex Wave","Standard Candidate"))))</x:f>
      </x:c>
      <x:c r="S99" s="14"/>
    </x:row>
    <x:row r="100">
      <x:c r="A100" s="14"/>
      <x:c r="B100" s="14"/>
      <x:c r="C100" s="14"/>
      <x:c r="D100" s="14"/>
      <x:c r="E100" s="1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2" t="str">
        <x:f>IF(COUNTA(F100:N100)=0,"",IF(COUNTA(F100:N100)&lt;9,"Incomplete",ROUND(F100*'Scoring Model'!$D$4+G100*'Scoring Model'!$D$5+H100*'Scoring Model'!$D$6+I100*'Scoring Model'!$D$7+J100*'Scoring Model'!$D$8+K100*'Scoring Model'!$D$9+L100*'Scoring Model'!$D$10+M100*'Scoring Model'!$D$11+N100*'Scoring Model'!$D$12,2)))</x:f>
      </x:c>
      <x:c r="P100" s="14" t="str">
        <x:f>IF(OR(O100="",O100="Incomplete"),"",IF(O100&lt;2,"Low",IF(O100&lt;3.25,"Medium",IF(O100&lt;4.25,"High","Very High"))))</x:f>
      </x:c>
      <x:c r="Q100" s="14"/>
      <x:c r="R100" s="14" t="str">
        <x:f>IF(OR(O100="",O100="Incomplete"),"",IF(AND(F100&gt;=4,O100&lt;=3.25),"Wave 1 Candidate",IF(O100&gt;=4.25,"Defer / De-risk",IF(O100&gt;=3.25,"Complex Wave","Standard Candidate"))))</x:f>
      </x:c>
      <x:c r="S100" s="14"/>
    </x:row>
    <x:row r="101">
      <x:c r="A101" s="14"/>
      <x:c r="B101" s="14"/>
      <x:c r="C101" s="14"/>
      <x:c r="D101" s="14"/>
      <x:c r="E101" s="1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2" t="str">
        <x:f>IF(COUNTA(F101:N101)=0,"",IF(COUNTA(F101:N101)&lt;9,"Incomplete",ROUND(F101*'Scoring Model'!$D$4+G101*'Scoring Model'!$D$5+H101*'Scoring Model'!$D$6+I101*'Scoring Model'!$D$7+J101*'Scoring Model'!$D$8+K101*'Scoring Model'!$D$9+L101*'Scoring Model'!$D$10+M101*'Scoring Model'!$D$11+N101*'Scoring Model'!$D$12,2)))</x:f>
      </x:c>
      <x:c r="P101" s="14" t="str">
        <x:f>IF(OR(O101="",O101="Incomplete"),"",IF(O101&lt;2,"Low",IF(O101&lt;3.25,"Medium",IF(O101&lt;4.25,"High","Very High"))))</x:f>
      </x:c>
      <x:c r="Q101" s="14"/>
      <x:c r="R101" s="14" t="str">
        <x:f>IF(OR(O101="",O101="Incomplete"),"",IF(AND(F101&gt;=4,O101&lt;=3.25),"Wave 1 Candidate",IF(O101&gt;=4.25,"Defer / De-risk",IF(O101&gt;=3.25,"Complex Wave","Standard Candidate"))))</x:f>
      </x:c>
      <x:c r="S101" s="14"/>
    </x:row>
  </x:sheetData>
  <x:conditionalFormatting sqref="O2:O10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P2:P101">
    <x:cfRule type="expression" dxfId="0" priority="2">
      <x:formula>P2="Very High"</x:formula>
    </x:cfRule>
    <x:cfRule type="expression" dxfId="1" priority="3">
      <x:formula>P2="High"</x:formula>
    </x:cfRule>
    <x:cfRule type="expression" dxfId="2" priority="4">
      <x:formula>P2="Medium"</x:formula>
    </x:cfRule>
    <x:cfRule type="expression" dxfId="3" priority="5">
      <x:formula>P2="Low"</x:formula>
    </x:cfRule>
  </x:conditionalFormatting>
  <x:conditionalFormatting sqref="Q2:Q101">
    <x:cfRule type="expression" dxfId="4" priority="6">
      <x:formula>Q2="Low"</x:formula>
    </x:cfRule>
  </x:conditionalFormatting>
  <x:dataValidations count="12">
    <x:dataValidation type="list" sqref="C2:C101">
      <x:formula1>'Reference Lists'!$D$2:$D$10</x:formula1>
    </x:dataValidation>
    <x:dataValidation type="list" sqref="E2:E101">
      <x:formula1>'Reference Lists'!$E$2:$E$10</x:formula1>
    </x:dataValidation>
    <x:dataValidation type="list" sqref="F2:F101">
      <x:formula1>'Reference Lists'!$A$2:$A$6</x:formula1>
    </x:dataValidation>
    <x:dataValidation type="list" sqref="G2:G101">
      <x:formula1>'Reference Lists'!$A$2:$A$6</x:formula1>
    </x:dataValidation>
    <x:dataValidation type="list" sqref="H2:H101">
      <x:formula1>'Reference Lists'!$A$2:$A$6</x:formula1>
    </x:dataValidation>
    <x:dataValidation type="list" sqref="I2:I101">
      <x:formula1>'Reference Lists'!$A$2:$A$6</x:formula1>
    </x:dataValidation>
    <x:dataValidation type="list" sqref="J2:J101">
      <x:formula1>'Reference Lists'!$A$2:$A$6</x:formula1>
    </x:dataValidation>
    <x:dataValidation type="list" sqref="K2:K101">
      <x:formula1>'Reference Lists'!$A$2:$A$6</x:formula1>
    </x:dataValidation>
    <x:dataValidation type="list" sqref="L2:L101">
      <x:formula1>'Reference Lists'!$A$2:$A$6</x:formula1>
    </x:dataValidation>
    <x:dataValidation type="list" sqref="M2:M101">
      <x:formula1>'Reference Lists'!$A$2:$A$6</x:formula1>
    </x:dataValidation>
    <x:dataValidation type="list" sqref="N2:N101">
      <x:formula1>'Reference Lists'!$A$2:$A$6</x:formula1>
    </x:dataValidation>
    <x:dataValidation type="list" sqref="Q2:Q101">
      <x:formula1>'Reference Lists'!$F$2:$F$4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0da7936e4140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DMAF Modernization Complexity Scoring Dashboard</x:v>
      </x:c>
    </x:row>
    <x:row r="3">
      <x:c r="A3" s="31" t="str">
        <x:v>Metric</x:v>
      </x:c>
      <x:c r="B3" s="31" t="str">
        <x:v>Value</x:v>
      </x:c>
      <x:c r="D3" s="31" t="str">
        <x:v>Complexity Band</x:v>
      </x:c>
      <x:c r="E3" s="31" t="str">
        <x:v>Count</x:v>
      </x:c>
      <x:c r="F3" s="31" t="str">
        <x:v>Share</x:v>
      </x:c>
    </x:row>
    <x:row r="4">
      <x:c r="A4" s="46" t="str">
        <x:v>Candidates Entered</x:v>
      </x:c>
      <x:c r="B4" s="40" t="n">
        <x:f>COUNTA('Candidate Scoring'!B2:B101)</x:f>
        <x:v>5</x:v>
      </x:c>
      <x:c r="D4" s="46" t="str">
        <x:v>Low</x:v>
      </x:c>
      <x:c r="E4" s="46" t="n">
        <x:f>COUNTIF('Candidate Scoring'!P2:P101,D4)</x:f>
        <x:v>1</x:v>
      </x:c>
      <x:c r="F4" s="36" t="n">
        <x:f>IFERROR(E4/$B$4,0)</x:f>
        <x:v>0.2</x:v>
      </x:c>
    </x:row>
    <x:row r="5">
      <x:c r="A5" s="46" t="str">
        <x:v>Average Complexity Score</x:v>
      </x:c>
      <x:c r="B5" s="40" t="n">
        <x:f>IFERROR(ROUND(AVERAGE('Candidate Scoring'!O2:O101),2),0)</x:f>
        <x:v>3.58</x:v>
      </x:c>
      <x:c r="D5" s="46" t="str">
        <x:v>Medium</x:v>
      </x:c>
      <x:c r="E5" s="46" t="n">
        <x:f>COUNTIF('Candidate Scoring'!P2:P101,D5)</x:f>
        <x:v>0</x:v>
      </x:c>
      <x:c r="F5" s="36" t="n">
        <x:f>IFERROR(E5/$B$4,0)</x:f>
        <x:v>0</x:v>
      </x:c>
    </x:row>
    <x:row r="6">
      <x:c r="A6" s="46" t="str">
        <x:v>High / Very High Candidates</x:v>
      </x:c>
      <x:c r="B6" s="40" t="n">
        <x:f>COUNTIF('Candidate Scoring'!P2:P101,"High")+COUNTIF('Candidate Scoring'!P2:P101,"Very High")</x:f>
        <x:v>4</x:v>
      </x:c>
      <x:c r="D6" s="46" t="str">
        <x:v>High</x:v>
      </x:c>
      <x:c r="E6" s="46" t="n">
        <x:f>COUNTIF('Candidate Scoring'!P2:P101,D6)</x:f>
        <x:v>3</x:v>
      </x:c>
      <x:c r="F6" s="36" t="n">
        <x:f>IFERROR(E6/$B$4,0)</x:f>
        <x:v>0.6</x:v>
      </x:c>
    </x:row>
    <x:row r="7">
      <x:c r="A7" s="46" t="str">
        <x:v>Wave 1 Candidates</x:v>
      </x:c>
      <x:c r="B7" s="40" t="n">
        <x:f>COUNTIF('Candidate Scoring'!R2:R101,"Wave 1 Candidate")</x:f>
        <x:v>0</x:v>
      </x:c>
      <x:c r="D7" s="46" t="str">
        <x:v>Very High</x:v>
      </x:c>
      <x:c r="E7" s="46" t="n">
        <x:f>COUNTIF('Candidate Scoring'!P2:P101,D7)</x:f>
        <x:v>1</x:v>
      </x:c>
      <x:c r="F7" s="36" t="n">
        <x:f>IFERROR(E7/$B$4,0)</x:f>
        <x:v>0.2</x:v>
      </x:c>
    </x:row>
    <x:row r="8">
      <x:c r="A8" s="46" t="str">
        <x:v>De-risk Candidates</x:v>
      </x:c>
      <x:c r="B8" s="40" t="n">
        <x:f>COUNTIF('Candidate Scoring'!R2:R101,"Defer / De-risk")</x:f>
        <x:v>1</x:v>
      </x:c>
    </x:row>
    <x:row r="9">
      <x:c r="A9" s="46" t="str">
        <x:v>Low Readiness Confidence</x:v>
      </x:c>
      <x:c r="B9" s="40" t="n">
        <x:f>COUNTIF('Candidate Scoring'!Q2:Q101,"Low")</x:f>
        <x:v>1</x:v>
      </x:c>
    </x:row>
    <x:row r="12">
      <x:c r="A12" s="10" t="str">
        <x:v>Top High-Complexity Candidates</x:v>
      </x:c>
      <x:c r="B12" t="str"/>
      <x:c r="C12" t="str"/>
      <x:c r="D12" t="str"/>
      <x:c r="E12" t="str"/>
      <x:c r="F12" t="str"/>
      <x:c r="G12" t="str"/>
    </x:row>
    <x:row r="13">
      <x:c r="A13" s="31" t="str">
        <x:v>Candidate ID</x:v>
      </x:c>
      <x:c r="B13" s="31" t="str">
        <x:v>Application / Workflow</x:v>
      </x:c>
      <x:c r="C13" s="31" t="str">
        <x:v>Source Platform</x:v>
      </x:c>
      <x:c r="D13" s="31" t="str">
        <x:v>Score</x:v>
      </x:c>
      <x:c r="E13" s="31" t="str">
        <x:v>Band</x:v>
      </x:c>
      <x:c r="F13" s="31" t="str">
        <x:v>Priority</x:v>
      </x:c>
      <x:c r="G13" s="31" t="str">
        <x:v>Notes</x:v>
      </x:c>
    </x:row>
    <x:row r="14">
      <x:c r="A14" s="46" t="str">
        <x:f>IF('Candidate Scoring'!B2="","",'Candidate Scoring'!A2)</x:f>
        <x:v>APP-001</x:v>
      </x:c>
      <x:c r="B14" s="46" t="str">
        <x:f>IF('Candidate Scoring'!B2="","",'Candidate Scoring'!B2)</x:f>
        <x:v>Customer ETL Batch</x:v>
      </x:c>
      <x:c r="C14" s="46" t="str">
        <x:f>IF('Candidate Scoring'!B2="","",'Candidate Scoring'!C2)</x:f>
        <x:v>Informatica</x:v>
      </x:c>
      <x:c r="D14" s="40" t="n">
        <x:f>IF('Candidate Scoring'!B2="","",'Candidate Scoring'!O2)</x:f>
        <x:v>3.75</x:v>
      </x:c>
      <x:c r="E14" s="46" t="str">
        <x:f>IF('Candidate Scoring'!B2="","",'Candidate Scoring'!P2)</x:f>
        <x:v>High</x:v>
      </x:c>
      <x:c r="F14" s="46" t="str">
        <x:f>IF('Candidate Scoring'!B2="","",'Candidate Scoring'!R2)</x:f>
        <x:v>Complex Wave</x:v>
      </x:c>
      <x:c r="G14" s="46" t="str">
        <x:f>IF('Candidate Scoring'!B2="","",'Candidate Scoring'!S2)</x:f>
        <x:v>Legacy mappings with multiple downstream consumers</x:v>
      </x:c>
    </x:row>
    <x:row r="15">
      <x:c r="A15" s="46" t="str">
        <x:f>IF('Candidate Scoring'!B3="","",'Candidate Scoring'!A3)</x:f>
        <x:v>APP-002</x:v>
      </x:c>
      <x:c r="B15" s="46" t="str">
        <x:f>IF('Candidate Scoring'!B3="","",'Candidate Scoring'!B3)</x:f>
        <x:v>Branch Ledger Feed</x:v>
      </x:c>
      <x:c r="C15" s="46" t="str">
        <x:f>IF('Candidate Scoring'!B3="","",'Candidate Scoring'!C3)</x:f>
        <x:v>Mainframe</x:v>
      </x:c>
      <x:c r="D15" s="40" t="n">
        <x:f>IF('Candidate Scoring'!B3="","",'Candidate Scoring'!O3)</x:f>
        <x:v>4.75</x:v>
      </x:c>
      <x:c r="E15" s="46" t="str">
        <x:f>IF('Candidate Scoring'!B3="","",'Candidate Scoring'!P3)</x:f>
        <x:v>Very High</x:v>
      </x:c>
      <x:c r="F15" s="46" t="str">
        <x:f>IF('Candidate Scoring'!B3="","",'Candidate Scoring'!R3)</x:f>
        <x:v>Defer / De-risk</x:v>
      </x:c>
      <x:c r="G15" s="46" t="str">
        <x:f>IF('Candidate Scoring'!B3="","",'Candidate Scoring'!S3)</x:f>
        <x:v>High dependency and reconciliation complexity</x:v>
      </x:c>
    </x:row>
    <x:row r="16">
      <x:c r="A16" s="46" t="str">
        <x:f>IF('Candidate Scoring'!B4="","",'Candidate Scoring'!A4)</x:f>
        <x:v>APP-003</x:v>
      </x:c>
      <x:c r="B16" s="46" t="str">
        <x:f>IF('Candidate Scoring'!B4="","",'Candidate Scoring'!B4)</x:f>
        <x:v>Marketing Analytics Load</x:v>
      </x:c>
      <x:c r="C16" s="46" t="str">
        <x:f>IF('Candidate Scoring'!B4="","",'Candidate Scoring'!C4)</x:f>
        <x:v>SSIS</x:v>
      </x:c>
      <x:c r="D16" s="40" t="n">
        <x:f>IF('Candidate Scoring'!B4="","",'Candidate Scoring'!O4)</x:f>
        <x:v>1.9</x:v>
      </x:c>
      <x:c r="E16" s="46" t="str">
        <x:f>IF('Candidate Scoring'!B4="","",'Candidate Scoring'!P4)</x:f>
        <x:v>Low</x:v>
      </x:c>
      <x:c r="F16" s="46" t="str">
        <x:f>IF('Candidate Scoring'!B4="","",'Candidate Scoring'!R4)</x:f>
        <x:v>Standard Candidate</x:v>
      </x:c>
      <x:c r="G16" s="46" t="str">
        <x:f>IF('Candidate Scoring'!B4="","",'Candidate Scoring'!S4)</x:f>
        <x:v>Good early candidate if dependencies confirmed</x:v>
      </x:c>
    </x:row>
    <x:row r="17">
      <x:c r="A17" s="46" t="str">
        <x:f>IF('Candidate Scoring'!B5="","",'Candidate Scoring'!A5)</x:f>
        <x:v>APP-004</x:v>
      </x:c>
      <x:c r="B17" s="46" t="str">
        <x:f>IF('Candidate Scoring'!B5="","",'Candidate Scoring'!B5)</x:f>
        <x:v>Regulatory Report Extract</x:v>
      </x:c>
      <x:c r="C17" s="46" t="str">
        <x:f>IF('Candidate Scoring'!B5="","",'Candidate Scoring'!C5)</x:f>
        <x:v>Oracle ETL</x:v>
      </x:c>
      <x:c r="D17" s="40" t="n">
        <x:f>IF('Candidate Scoring'!B5="","",'Candidate Scoring'!O5)</x:f>
        <x:v>3.75</x:v>
      </x:c>
      <x:c r="E17" s="46" t="str">
        <x:f>IF('Candidate Scoring'!B5="","",'Candidate Scoring'!P5)</x:f>
        <x:v>High</x:v>
      </x:c>
      <x:c r="F17" s="46" t="str">
        <x:f>IF('Candidate Scoring'!B5="","",'Candidate Scoring'!R5)</x:f>
        <x:v>Complex Wave</x:v>
      </x:c>
      <x:c r="G17" s="46" t="str">
        <x:f>IF('Candidate Scoring'!B5="","",'Candidate Scoring'!S5)</x:f>
        <x:v>Validation evidence and sign-off critical</x:v>
      </x:c>
    </x:row>
    <x:row r="18">
      <x:c r="A18" s="46" t="str">
        <x:f>IF('Candidate Scoring'!B6="","",'Candidate Scoring'!A6)</x:f>
        <x:v>APP-005</x:v>
      </x:c>
      <x:c r="B18" s="46" t="str">
        <x:f>IF('Candidate Scoring'!B6="","",'Candidate Scoring'!B6)</x:f>
        <x:v>Legacy Hadoop Aggregate</x:v>
      </x:c>
      <x:c r="C18" s="46" t="str">
        <x:f>IF('Candidate Scoring'!B6="","",'Candidate Scoring'!C6)</x:f>
        <x:v>Hadoop</x:v>
      </x:c>
      <x:c r="D18" s="40" t="n">
        <x:f>IF('Candidate Scoring'!B6="","",'Candidate Scoring'!O6)</x:f>
        <x:v>3.75</x:v>
      </x:c>
      <x:c r="E18" s="46" t="str">
        <x:f>IF('Candidate Scoring'!B6="","",'Candidate Scoring'!P6)</x:f>
        <x:v>High</x:v>
      </x:c>
      <x:c r="F18" s="46" t="str">
        <x:f>IF('Candidate Scoring'!B6="","",'Candidate Scoring'!R6)</x:f>
        <x:v>Complex Wave</x:v>
      </x:c>
      <x:c r="G18" s="46" t="str">
        <x:f>IF('Candidate Scoring'!B6="","",'Candidate Scoring'!S6)</x:f>
        <x:v>Large volumes and performance considerations</x:v>
      </x:c>
    </x:row>
    <x:row r="19">
      <x:c r="A19" s="46" t="str">
        <x:f>IF('Candidate Scoring'!B7="","",'Candidate Scoring'!A7)</x:f>
      </x:c>
      <x:c r="B19" s="46" t="str">
        <x:f>IF('Candidate Scoring'!B7="","",'Candidate Scoring'!B7)</x:f>
      </x:c>
      <x:c r="C19" s="46" t="str">
        <x:f>IF('Candidate Scoring'!B7="","",'Candidate Scoring'!C7)</x:f>
      </x:c>
      <x:c r="D19" s="40" t="str">
        <x:f>IF('Candidate Scoring'!B7="","",'Candidate Scoring'!O7)</x:f>
      </x:c>
      <x:c r="E19" s="46" t="str">
        <x:f>IF('Candidate Scoring'!B7="","",'Candidate Scoring'!P7)</x:f>
      </x:c>
      <x:c r="F19" s="46" t="str">
        <x:f>IF('Candidate Scoring'!B7="","",'Candidate Scoring'!R7)</x:f>
      </x:c>
      <x:c r="G19" s="46" t="str">
        <x:f>IF('Candidate Scoring'!B7="","",'Candidate Scoring'!S7)</x:f>
      </x:c>
    </x:row>
    <x:row r="20">
      <x:c r="A20" s="46" t="str">
        <x:f>IF('Candidate Scoring'!B8="","",'Candidate Scoring'!A8)</x:f>
      </x:c>
      <x:c r="B20" s="46" t="str">
        <x:f>IF('Candidate Scoring'!B8="","",'Candidate Scoring'!B8)</x:f>
      </x:c>
      <x:c r="C20" s="46" t="str">
        <x:f>IF('Candidate Scoring'!B8="","",'Candidate Scoring'!C8)</x:f>
      </x:c>
      <x:c r="D20" s="40" t="str">
        <x:f>IF('Candidate Scoring'!B8="","",'Candidate Scoring'!O8)</x:f>
      </x:c>
      <x:c r="E20" s="46" t="str">
        <x:f>IF('Candidate Scoring'!B8="","",'Candidate Scoring'!P8)</x:f>
      </x:c>
      <x:c r="F20" s="46" t="str">
        <x:f>IF('Candidate Scoring'!B8="","",'Candidate Scoring'!R8)</x:f>
      </x:c>
      <x:c r="G20" s="46" t="str">
        <x:f>IF('Candidate Scoring'!B8="","",'Candidate Scoring'!S8)</x:f>
      </x:c>
    </x:row>
    <x:row r="21">
      <x:c r="A21" s="46" t="str">
        <x:f>IF('Candidate Scoring'!B9="","",'Candidate Scoring'!A9)</x:f>
      </x:c>
      <x:c r="B21" s="46" t="str">
        <x:f>IF('Candidate Scoring'!B9="","",'Candidate Scoring'!B9)</x:f>
      </x:c>
      <x:c r="C21" s="46" t="str">
        <x:f>IF('Candidate Scoring'!B9="","",'Candidate Scoring'!C9)</x:f>
      </x:c>
      <x:c r="D21" s="40" t="str">
        <x:f>IF('Candidate Scoring'!B9="","",'Candidate Scoring'!O9)</x:f>
      </x:c>
      <x:c r="E21" s="46" t="str">
        <x:f>IF('Candidate Scoring'!B9="","",'Candidate Scoring'!P9)</x:f>
      </x:c>
      <x:c r="F21" s="46" t="str">
        <x:f>IF('Candidate Scoring'!B9="","",'Candidate Scoring'!R9)</x:f>
      </x:c>
      <x:c r="G21" s="46" t="str">
        <x:f>IF('Candidate Scoring'!B9="","",'Candidate Scoring'!S9)</x:f>
      </x:c>
    </x:row>
    <x:row r="22">
      <x:c r="A22" s="46" t="str">
        <x:f>IF('Candidate Scoring'!B10="","",'Candidate Scoring'!A10)</x:f>
      </x:c>
      <x:c r="B22" s="46" t="str">
        <x:f>IF('Candidate Scoring'!B10="","",'Candidate Scoring'!B10)</x:f>
      </x:c>
      <x:c r="C22" s="46" t="str">
        <x:f>IF('Candidate Scoring'!B10="","",'Candidate Scoring'!C10)</x:f>
      </x:c>
      <x:c r="D22" s="40" t="str">
        <x:f>IF('Candidate Scoring'!B10="","",'Candidate Scoring'!O10)</x:f>
      </x:c>
      <x:c r="E22" s="46" t="str">
        <x:f>IF('Candidate Scoring'!B10="","",'Candidate Scoring'!P10)</x:f>
      </x:c>
      <x:c r="F22" s="46" t="str">
        <x:f>IF('Candidate Scoring'!B10="","",'Candidate Scoring'!R10)</x:f>
      </x:c>
      <x:c r="G22" s="46" t="str">
        <x:f>IF('Candidate Scoring'!B10="","",'Candidate Scoring'!S10)</x:f>
      </x:c>
    </x:row>
    <x:row r="23">
      <x:c r="A23" s="46" t="str">
        <x:f>IF('Candidate Scoring'!B11="","",'Candidate Scoring'!A11)</x:f>
      </x:c>
      <x:c r="B23" s="46" t="str">
        <x:f>IF('Candidate Scoring'!B11="","",'Candidate Scoring'!B11)</x:f>
      </x:c>
      <x:c r="C23" s="46" t="str">
        <x:f>IF('Candidate Scoring'!B11="","",'Candidate Scoring'!C11)</x:f>
      </x:c>
      <x:c r="D23" s="40" t="str">
        <x:f>IF('Candidate Scoring'!B11="","",'Candidate Scoring'!O11)</x:f>
      </x:c>
      <x:c r="E23" s="46" t="str">
        <x:f>IF('Candidate Scoring'!B11="","",'Candidate Scoring'!P11)</x:f>
      </x:c>
      <x:c r="F23" s="46" t="str">
        <x:f>IF('Candidate Scoring'!B11="","",'Candidate Scoring'!R11)</x:f>
      </x:c>
      <x:c r="G23" s="46" t="str">
        <x:f>IF('Candidate Scoring'!B11="","",'Candidate Scoring'!S11)</x:f>
      </x:c>
    </x:row>
  </x:sheetData>
  <x:mergeCells>
    <x:mergeCell ref="A1:H1"/>
    <x:mergeCell ref="A12:G12"/>
  </x:mergeCells>
  <x:conditionalFormatting sqref="B4:B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f6ab9e8a22f457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B4:B9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1" t="str">
        <x:v>Score</x:v>
      </x:c>
      <x:c r="B1" s="31" t="str">
        <x:v>Score Meaning</x:v>
      </x:c>
      <x:c r="C1" s="31" t="str">
        <x:v>Complexity Band</x:v>
      </x:c>
      <x:c r="D1" s="31" t="str">
        <x:v>Source Platform</x:v>
      </x:c>
      <x:c r="E1" s="31" t="str">
        <x:v>Migration Driver</x:v>
      </x:c>
      <x:c r="F1" s="31" t="str">
        <x:v>Readiness Confidence</x:v>
      </x:c>
      <x:c r="G1" s="31" t="str">
        <x:v>Priority Recommendation</x:v>
      </x:c>
      <x:c r="H1" s="31" t="str">
        <x:v>Status</x:v>
      </x:c>
    </x:row>
    <x:row r="2">
      <x:c r="A2" t="n">
        <x:v>1</x:v>
      </x:c>
      <x:c r="B2" t="str">
        <x:v>Low complexity / simple / low risk</x:v>
      </x:c>
      <x:c r="C2" t="str">
        <x:v>Low</x:v>
      </x:c>
      <x:c r="D2" t="str">
        <x:v>Informatica</x:v>
      </x:c>
      <x:c r="E2" t="str">
        <x:v>Technology Deprecation</x:v>
      </x:c>
      <x:c r="F2" t="str">
        <x:v>High</x:v>
      </x:c>
      <x:c r="G2" t="str">
        <x:v>Wave 1 Candidate</x:v>
      </x:c>
      <x:c r="H2" t="str">
        <x:v>Not Started</x:v>
      </x:c>
    </x:row>
    <x:row r="3">
      <x:c r="A3" t="n">
        <x:v>2</x:v>
      </x:c>
      <x:c r="B3" t="str">
        <x:v>Low-to-medium complexity</x:v>
      </x:c>
      <x:c r="C3" t="str">
        <x:v>Medium</x:v>
      </x:c>
      <x:c r="D3" t="str">
        <x:v>Mainframe</x:v>
      </x:c>
      <x:c r="E3" t="str">
        <x:v>Cost Reduction</x:v>
      </x:c>
      <x:c r="F3" t="str">
        <x:v>Medium</x:v>
      </x:c>
      <x:c r="G3" t="str">
        <x:v>Standard Candidate</x:v>
      </x:c>
      <x:c r="H3" t="str">
        <x:v>In Review</x:v>
      </x:c>
    </x:row>
    <x:row r="4">
      <x:c r="A4" t="n">
        <x:v>3</x:v>
      </x:c>
      <x:c r="B4" t="str">
        <x:v>Moderate complexity</x:v>
      </x:c>
      <x:c r="C4" t="str">
        <x:v>High</x:v>
      </x:c>
      <x:c r="D4" t="str">
        <x:v>SSIS</x:v>
      </x:c>
      <x:c r="E4" t="str">
        <x:v>Risk Reduction</x:v>
      </x:c>
      <x:c r="F4" t="str">
        <x:v>Low</x:v>
      </x:c>
      <x:c r="G4" t="str">
        <x:v>Complex Wave</x:v>
      </x:c>
      <x:c r="H4" t="str">
        <x:v>Drafted</x:v>
      </x:c>
    </x:row>
    <x:row r="5">
      <x:c r="A5" t="n">
        <x:v>4</x:v>
      </x:c>
      <x:c r="B5" t="str">
        <x:v>High complexity</x:v>
      </x:c>
      <x:c r="C5" t="str">
        <x:v>Very High</x:v>
      </x:c>
      <x:c r="D5" t="str">
        <x:v>DataStage</x:v>
      </x:c>
      <x:c r="E5" t="str">
        <x:v>AI Readiness</x:v>
      </x:c>
      <x:c r="F5" t="str"/>
      <x:c r="G5" t="str">
        <x:v>Defer / De-risk</x:v>
      </x:c>
      <x:c r="H5" t="str">
        <x:v>Approved</x:v>
      </x:c>
    </x:row>
    <x:row r="6">
      <x:c r="A6" t="n">
        <x:v>5</x:v>
      </x:c>
      <x:c r="B6" t="str">
        <x:v>Very high complexity / high uncertainty</x:v>
      </x:c>
      <x:c r="C6" t="str"/>
      <x:c r="D6" t="str">
        <x:v>Hadoop</x:v>
      </x:c>
      <x:c r="E6" t="str">
        <x:v>Governance Improvement</x:v>
      </x:c>
      <x:c r="F6" t="str"/>
      <x:c r="G6" t="str">
        <x:v>Needs Discovery</x:v>
      </x:c>
      <x:c r="H6" t="str">
        <x:v>Archived</x:v>
      </x:c>
    </x:row>
    <x:row r="7">
      <x:c r="A7" t="str"/>
      <x:c r="B7" t="str"/>
      <x:c r="C7" t="str"/>
      <x:c r="D7" t="str">
        <x:v>Teradata</x:v>
      </x:c>
      <x:c r="E7" t="str">
        <x:v>Operating Model Change</x:v>
      </x:c>
      <x:c r="F7" t="str"/>
      <x:c r="G7" t="str"/>
      <x:c r="H7" t="str"/>
    </x:row>
    <x:row r="8">
      <x:c r="A8" t="str"/>
      <x:c r="B8" t="str"/>
      <x:c r="C8" t="str"/>
      <x:c r="D8" t="str">
        <x:v>Oracle ETL</x:v>
      </x:c>
      <x:c r="E8" t="str">
        <x:v>Platform Modernization</x:v>
      </x:c>
      <x:c r="F8" t="str"/>
      <x:c r="G8" t="str"/>
      <x:c r="H8" t="str"/>
    </x:row>
    <x:row r="9">
      <x:c r="A9" t="str"/>
      <x:c r="B9" t="str"/>
      <x:c r="C9" t="str"/>
      <x:c r="D9" t="str">
        <x:v>Custom Pipelines</x:v>
      </x:c>
      <x:c r="E9" t="str">
        <x:v>Regulatory / Compliance</x:v>
      </x:c>
      <x:c r="F9" t="str"/>
      <x:c r="G9" t="str"/>
      <x:c r="H9" t="str"/>
    </x:row>
    <x:row r="10">
      <x:c r="A10" t="str"/>
      <x:c r="B10" t="str"/>
      <x:c r="C10" t="str"/>
      <x:c r="D10" t="str">
        <x:v>Other</x:v>
      </x:c>
      <x:c r="E10" t="str">
        <x:v>Performance / Scalability</x:v>
      </x:c>
      <x:c r="F10" t="str"/>
      <x:c r="G10" t="str"/>
      <x:c r="H10" t="str"/>
    </x:row>
  </x:sheetData>
  <x:pageMargins left="0.7" right="0.7" top="0.75" bottom="0.75" header="0.3" footer="0.3"/>
</x:worksheet>
</file>