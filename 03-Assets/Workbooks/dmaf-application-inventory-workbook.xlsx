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rvi\Documents\GRoot\Projects\Nov-2025\14Brooks\Personal\MyConsulting\Aletha\dmaf\"/>
    </mc:Choice>
  </mc:AlternateContent>
  <xr:revisionPtr revIDLastSave="0" documentId="13_ncr:1_{47E127C9-05FA-41B5-AFE3-7D30EE7005E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ME" sheetId="1" r:id="rId1"/>
    <sheet name="Application Inventory" sheetId="2" r:id="rId2"/>
    <sheet name="Workflow Inventory" sheetId="3" r:id="rId3"/>
    <sheet name="Dependencies" sheetId="4" r:id="rId4"/>
    <sheet name="Dashboard" sheetId="5" r:id="rId5"/>
    <sheet name="Reference Lis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5" l="1"/>
  <c r="B20" i="5"/>
  <c r="C19" i="5"/>
  <c r="B19" i="5"/>
  <c r="C18" i="5"/>
  <c r="B18" i="5"/>
  <c r="C17" i="5"/>
  <c r="B17" i="5"/>
  <c r="C16" i="5"/>
  <c r="B16" i="5"/>
  <c r="C15" i="5"/>
  <c r="B15" i="5"/>
  <c r="H14" i="5"/>
  <c r="C14" i="5"/>
  <c r="B14" i="5"/>
  <c r="H13" i="5"/>
  <c r="H12" i="5"/>
  <c r="H11" i="5"/>
  <c r="H10" i="5"/>
  <c r="B10" i="5"/>
  <c r="H9" i="5"/>
  <c r="B9" i="5"/>
  <c r="H8" i="5"/>
  <c r="E8" i="5"/>
  <c r="B8" i="5"/>
  <c r="H7" i="5"/>
  <c r="E7" i="5"/>
  <c r="B7" i="5"/>
  <c r="H6" i="5"/>
  <c r="E6" i="5"/>
  <c r="B6" i="5"/>
  <c r="H5" i="5"/>
  <c r="E5" i="5"/>
  <c r="B5" i="5"/>
  <c r="C21" i="5" s="1"/>
  <c r="H4" i="5"/>
  <c r="E4" i="5"/>
  <c r="B4" i="5"/>
  <c r="B21" i="5" s="1"/>
  <c r="E9" i="5" l="1"/>
</calcChain>
</file>

<file path=xl/sharedStrings.xml><?xml version="1.0" encoding="utf-8"?>
<sst xmlns="http://schemas.openxmlformats.org/spreadsheetml/2006/main" count="423" uniqueCount="241">
  <si>
    <t>DMAF Application Inventory Workbook</t>
  </si>
  <si>
    <t>Asset ID</t>
  </si>
  <si>
    <t>DMAF-ASSET-WBK-001</t>
  </si>
  <si>
    <t>Title</t>
  </si>
  <si>
    <t>Status</t>
  </si>
  <si>
    <t>Draft</t>
  </si>
  <si>
    <t>Version</t>
  </si>
  <si>
    <t>0.1.0</t>
  </si>
  <si>
    <t>Release</t>
  </si>
  <si>
    <t>Release-2.0</t>
  </si>
  <si>
    <t>Asset Type</t>
  </si>
  <si>
    <t>Workbook</t>
  </si>
  <si>
    <t>Practice Domain</t>
  </si>
  <si>
    <t>Discovery &amp; Assessment</t>
  </si>
  <si>
    <t>Capability</t>
  </si>
  <si>
    <t>DMAF-CAP-DAS-002 — Application &amp; Workflow Inventory Analysis</t>
  </si>
  <si>
    <t>Lifecycle Stages</t>
  </si>
  <si>
    <t>Discovery &amp; Assessment; Migration Factory Planning</t>
  </si>
  <si>
    <t>Last Updated</t>
  </si>
  <si>
    <t>2026-06-28</t>
  </si>
  <si>
    <t>Owner</t>
  </si>
  <si>
    <t>DMAF Practice Lead</t>
  </si>
  <si>
    <t>Purpose</t>
  </si>
  <si>
    <t>This workbook captures the initial application, workflow, and dependency inventory required to support DMAF discovery, assessment, modernization architecture, migration factory planning, and future Workbench automation. It is intended to create a consistent evidence base before complexity scoring, architecture design, wave planning, or estimation.</t>
  </si>
  <si>
    <t>Workbook Sheets</t>
  </si>
  <si>
    <t>Sheet</t>
  </si>
  <si>
    <t>Application Inventory</t>
  </si>
  <si>
    <t>Capture application-level modernization scope and context.</t>
  </si>
  <si>
    <t>Business Analyst / Solution Architect</t>
  </si>
  <si>
    <t>Workflow Inventory</t>
  </si>
  <si>
    <t>Capture workflows, jobs, pipelines, schedules, and transformation characteristics.</t>
  </si>
  <si>
    <t>Business Analyst / Data Engineer</t>
  </si>
  <si>
    <t>Dependencies</t>
  </si>
  <si>
    <t>Capture upstream, downstream, integration, and consumer dependencies.</t>
  </si>
  <si>
    <t>Solution Architect / Data Architect</t>
  </si>
  <si>
    <t>Dashboard</t>
  </si>
  <si>
    <t>Summarize inventory completeness and modernization scope indicators.</t>
  </si>
  <si>
    <t>Engagement Lead</t>
  </si>
  <si>
    <t>Reference Lists</t>
  </si>
  <si>
    <t>Manage dropdown values and category standards.</t>
  </si>
  <si>
    <t>Usage Guidance</t>
  </si>
  <si>
    <t>1</t>
  </si>
  <si>
    <t>Start by capturing all known applications in Application Inventory.</t>
  </si>
  <si>
    <t>2</t>
  </si>
  <si>
    <t>Add workflow/job/pipeline details in Workflow Inventory and link each workflow to an App ID.</t>
  </si>
  <si>
    <t>3</t>
  </si>
  <si>
    <t>Capture known upstream and downstream dependencies in Dependencies.</t>
  </si>
  <si>
    <t>4</t>
  </si>
  <si>
    <t>Use Inventory Status and Discovery Confidence to distinguish facts from gaps and assumptions.</t>
  </si>
  <si>
    <t>5</t>
  </si>
  <si>
    <t>Review the Dashboard to identify missing owners, unknown criticality, incomplete statuses, and scope signals.</t>
  </si>
  <si>
    <t>6</t>
  </si>
  <si>
    <t>Use this workbook as input to complexity scoring, architecture assessment, migration wave planning, and validation planning.</t>
  </si>
  <si>
    <t>7</t>
  </si>
  <si>
    <t>Do not treat this inventory as complete until owners, dependencies, criticality, and confidence levels have been reviewed.</t>
  </si>
  <si>
    <t>App ID</t>
  </si>
  <si>
    <t>Application Name</t>
  </si>
  <si>
    <t>Business Domain</t>
  </si>
  <si>
    <t>Business Owner</t>
  </si>
  <si>
    <t>Technical Owner</t>
  </si>
  <si>
    <t>Executive Sponsor</t>
  </si>
  <si>
    <t>Criticality</t>
  </si>
  <si>
    <t>Current Platform</t>
  </si>
  <si>
    <t>Source Platform Type</t>
  </si>
  <si>
    <t>Primary Workload Type</t>
  </si>
  <si>
    <t>Description</t>
  </si>
  <si>
    <t>Data Sensitivity</t>
  </si>
  <si>
    <t>Regulatory Impact</t>
  </si>
  <si>
    <t>Business SLA</t>
  </si>
  <si>
    <t>Operational Status</t>
  </si>
  <si>
    <t>Inventory Status</t>
  </si>
  <si>
    <t>Discovery Confidence</t>
  </si>
  <si>
    <t>Known Workflow Count</t>
  </si>
  <si>
    <t>Known Dependency Count</t>
  </si>
  <si>
    <t>Modernization Notes</t>
  </si>
  <si>
    <t>APP-001</t>
  </si>
  <si>
    <t>Customer Ledger Reporting</t>
  </si>
  <si>
    <t>Finance</t>
  </si>
  <si>
    <t>TBD</t>
  </si>
  <si>
    <t>High</t>
  </si>
  <si>
    <t>Oracle + Informatica</t>
  </si>
  <si>
    <t>Informatica</t>
  </si>
  <si>
    <t>Batch ETL</t>
  </si>
  <si>
    <t>Example: nightly reporting pipeline feeding downstream finance reports.</t>
  </si>
  <si>
    <t>Confidential</t>
  </si>
  <si>
    <t>Yes</t>
  </si>
  <si>
    <t>Daily close</t>
  </si>
  <si>
    <t>Active</t>
  </si>
  <si>
    <t>Drafted</t>
  </si>
  <si>
    <t>Medium</t>
  </si>
  <si>
    <t>Replace sample row with real client data.</t>
  </si>
  <si>
    <t>APP-002</t>
  </si>
  <si>
    <t>Branch Transaction Extracts</t>
  </si>
  <si>
    <t>Operations</t>
  </si>
  <si>
    <t>Critical</t>
  </si>
  <si>
    <t>Mainframe</t>
  </si>
  <si>
    <t>Mainframe Batch</t>
  </si>
  <si>
    <t>Example: mainframe batch extracts with downstream consumers.</t>
  </si>
  <si>
    <t>Restricted</t>
  </si>
  <si>
    <t>Daily</t>
  </si>
  <si>
    <t>Low</t>
  </si>
  <si>
    <t>Confirm upstream and downstream dependencies.</t>
  </si>
  <si>
    <t>APP-003</t>
  </si>
  <si>
    <t>Marketing Data Mart</t>
  </si>
  <si>
    <t>Marketing</t>
  </si>
  <si>
    <t>SQL Server</t>
  </si>
  <si>
    <t>SQL Scripts</t>
  </si>
  <si>
    <t>Data Mart</t>
  </si>
  <si>
    <t>Example: SQL-based data mart with scheduled refresh.</t>
  </si>
  <si>
    <t>Internal</t>
  </si>
  <si>
    <t>No</t>
  </si>
  <si>
    <t>Weekly</t>
  </si>
  <si>
    <t>In Progress</t>
  </si>
  <si>
    <t>Validate target-state fit.</t>
  </si>
  <si>
    <t>Workflow ID</t>
  </si>
  <si>
    <t>Workflow / Job Name</t>
  </si>
  <si>
    <t>Workflow Type</t>
  </si>
  <si>
    <t>Source System</t>
  </si>
  <si>
    <t>Target System</t>
  </si>
  <si>
    <t>Orchestrator</t>
  </si>
  <si>
    <t>Frequency</t>
  </si>
  <si>
    <t>Runtime Window</t>
  </si>
  <si>
    <t>Average Duration</t>
  </si>
  <si>
    <t>SLA</t>
  </si>
  <si>
    <t>Transformation Complexity</t>
  </si>
  <si>
    <t>Data Volume GB</t>
  </si>
  <si>
    <t>Dependency Count</t>
  </si>
  <si>
    <t>Notes</t>
  </si>
  <si>
    <t>WF-001</t>
  </si>
  <si>
    <t>Load Customer Ledger</t>
  </si>
  <si>
    <t>CRM</t>
  </si>
  <si>
    <t>Oracle</t>
  </si>
  <si>
    <t>01:00-02:00</t>
  </si>
  <si>
    <t>45 min</t>
  </si>
  <si>
    <t>Before 6 AM</t>
  </si>
  <si>
    <t>Sample row.</t>
  </si>
  <si>
    <t>WF-002</t>
  </si>
  <si>
    <t>Branch Extract Generation</t>
  </si>
  <si>
    <t>Core Banking</t>
  </si>
  <si>
    <t>Flat File</t>
  </si>
  <si>
    <t>JCL</t>
  </si>
  <si>
    <t>02:00-04:00</t>
  </si>
  <si>
    <t>90 min</t>
  </si>
  <si>
    <t>Before branch open</t>
  </si>
  <si>
    <t>Very High</t>
  </si>
  <si>
    <t>WF-003</t>
  </si>
  <si>
    <t>Refresh Marketing Mart</t>
  </si>
  <si>
    <t>SQL Agent</t>
  </si>
  <si>
    <t>Sunday</t>
  </si>
  <si>
    <t>30 min</t>
  </si>
  <si>
    <t>Monday AM</t>
  </si>
  <si>
    <t>Dependency ID</t>
  </si>
  <si>
    <t>Related App ID</t>
  </si>
  <si>
    <t>Related Workflow ID</t>
  </si>
  <si>
    <t>Dependency Name</t>
  </si>
  <si>
    <t>Dependency Type</t>
  </si>
  <si>
    <t>Direction</t>
  </si>
  <si>
    <t>Source / Provider</t>
  </si>
  <si>
    <t>Target / Consumer</t>
  </si>
  <si>
    <t>Interface Type</t>
  </si>
  <si>
    <t>Known / Unknown</t>
  </si>
  <si>
    <t>Validation Required</t>
  </si>
  <si>
    <t>Risk Notes</t>
  </si>
  <si>
    <t>DEP-001</t>
  </si>
  <si>
    <t>CRM Customer Feed</t>
  </si>
  <si>
    <t>Source</t>
  </si>
  <si>
    <t>Upstream</t>
  </si>
  <si>
    <t>Table</t>
  </si>
  <si>
    <t>Known</t>
  </si>
  <si>
    <t>Confirm schema and refresh timing.</t>
  </si>
  <si>
    <t>DEP-002</t>
  </si>
  <si>
    <t>Branch GL Flat File</t>
  </si>
  <si>
    <t>Downstream Consumer</t>
  </si>
  <si>
    <t>Downstream</t>
  </si>
  <si>
    <t>Finance Reporting</t>
  </si>
  <si>
    <t>Cutover and reconciliation critical.</t>
  </si>
  <si>
    <t>DEP-003</t>
  </si>
  <si>
    <t>Campaign Segments</t>
  </si>
  <si>
    <t>Shared Table</t>
  </si>
  <si>
    <t>Marketing BI</t>
  </si>
  <si>
    <t>Unknown</t>
  </si>
  <si>
    <t>Confirm usage and consumers.</t>
  </si>
  <si>
    <t>Application Inventory Dashboard</t>
  </si>
  <si>
    <t>KPI</t>
  </si>
  <si>
    <t>Value</t>
  </si>
  <si>
    <t>Application Criticality</t>
  </si>
  <si>
    <t>Count</t>
  </si>
  <si>
    <t>Application Count</t>
  </si>
  <si>
    <t>Total Applications</t>
  </si>
  <si>
    <t>Total Workflows</t>
  </si>
  <si>
    <t>Total Dependencies</t>
  </si>
  <si>
    <t>SSIS</t>
  </si>
  <si>
    <t>Applications Missing Owner</t>
  </si>
  <si>
    <t>DataStage</t>
  </si>
  <si>
    <t>Critical / High Applications</t>
  </si>
  <si>
    <t>Hadoop</t>
  </si>
  <si>
    <t>Low / Unknown Discovery Confidence</t>
  </si>
  <si>
    <t>Blank</t>
  </si>
  <si>
    <t>Teradata</t>
  </si>
  <si>
    <t>Blocked / Unknown Inventory Items</t>
  </si>
  <si>
    <t>Oracle ETL</t>
  </si>
  <si>
    <t>Custom Pipelines</t>
  </si>
  <si>
    <t>Applications</t>
  </si>
  <si>
    <t>Workflows</t>
  </si>
  <si>
    <t>Other</t>
  </si>
  <si>
    <t>Not Started</t>
  </si>
  <si>
    <t>Reviewed</t>
  </si>
  <si>
    <t>Confirmed</t>
  </si>
  <si>
    <t>Blocked</t>
  </si>
  <si>
    <t>Review Prompts</t>
  </si>
  <si>
    <t>Which applications have unknown or low discovery confidence?</t>
  </si>
  <si>
    <t>Which critical/high applications are missing owners or sponsors?</t>
  </si>
  <si>
    <t>Which source platforms dominate the modernization scope?</t>
  </si>
  <si>
    <t>Which workflows have high transformation complexity or unknown dependency counts?</t>
  </si>
  <si>
    <t>Which dependencies are unknown or not validated?</t>
  </si>
  <si>
    <t>What information must be confirmed before complexity scoring and wave planning?</t>
  </si>
  <si>
    <t>Workload Type</t>
  </si>
  <si>
    <t>Complexity</t>
  </si>
  <si>
    <t>Public</t>
  </si>
  <si>
    <t>Real-time</t>
  </si>
  <si>
    <t>Streaming</t>
  </si>
  <si>
    <t>Inactive</t>
  </si>
  <si>
    <t>Hourly</t>
  </si>
  <si>
    <t>Target</t>
  </si>
  <si>
    <t>Reporting</t>
  </si>
  <si>
    <t>Retiring</t>
  </si>
  <si>
    <t>Bidirectional</t>
  </si>
  <si>
    <t>Data Warehouse</t>
  </si>
  <si>
    <t>Planned</t>
  </si>
  <si>
    <t>Upstream Provider</t>
  </si>
  <si>
    <t>Regulated</t>
  </si>
  <si>
    <t>Monthly</t>
  </si>
  <si>
    <t>File Processing</t>
  </si>
  <si>
    <t>Quarterly</t>
  </si>
  <si>
    <t>File Interface</t>
  </si>
  <si>
    <t>API Integration</t>
  </si>
  <si>
    <t>Ad hoc</t>
  </si>
  <si>
    <t>API</t>
  </si>
  <si>
    <t>Schedule</t>
  </si>
  <si>
    <t>Analytics</t>
  </si>
  <si>
    <t>Business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</si>
</sst>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244062"/>
      </patternFill>
    </fill>
    <fill>
      <patternFill patternType="solid">
        <fgColor rgb="FFB7DEE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4" borderId="0" xfId="0" applyFill="1" applyAlignment="1">
      <alignment vertical="top" wrapText="1"/>
    </xf>
    <xf numFmtId="0" fontId="4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8" borderId="0" xfId="0" applyFill="1" applyAlignment="1">
      <alignment vertical="top" wrapText="1"/>
    </xf>
    <xf numFmtId="1" fontId="0" fillId="8" borderId="0" xfId="0" applyNumberForma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9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Application Criticality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Dashboard!$D$4:$D$8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Unknown</c:v>
                </c:pt>
              </c:strCache>
            </c:strRef>
          </c:cat>
          <c:val>
            <c:numRef>
              <c:f>Dashboard!$E$4:$E$8</c:f>
              <c:numCache>
                <c:formatCode>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3-4E9F-962D-604719E46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Applications by Source Platform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Application Count</c:v>
          </c:tx>
          <c:invertIfNegative val="1"/>
          <c:cat>
            <c:strRef>
              <c:f>Dashboard!$G$4:$G$14</c:f>
              <c:strCache>
                <c:ptCount val="11"/>
                <c:pt idx="0">
                  <c:v>Informatica</c:v>
                </c:pt>
                <c:pt idx="1">
                  <c:v>Mainframe</c:v>
                </c:pt>
                <c:pt idx="2">
                  <c:v>SSIS</c:v>
                </c:pt>
                <c:pt idx="3">
                  <c:v>DataStage</c:v>
                </c:pt>
                <c:pt idx="4">
                  <c:v>Hadoop</c:v>
                </c:pt>
                <c:pt idx="5">
                  <c:v>Teradata</c:v>
                </c:pt>
                <c:pt idx="6">
                  <c:v>Oracle ETL</c:v>
                </c:pt>
                <c:pt idx="7">
                  <c:v>SQL Scripts</c:v>
                </c:pt>
                <c:pt idx="8">
                  <c:v>Custom Pipelines</c:v>
                </c:pt>
                <c:pt idx="9">
                  <c:v>Other</c:v>
                </c:pt>
                <c:pt idx="10">
                  <c:v>Unknown</c:v>
                </c:pt>
              </c:strCache>
            </c:strRef>
          </c:cat>
          <c:val>
            <c:numRef>
              <c:f>Dashboard!$H$4:$H$14</c:f>
              <c:numCache>
                <c:formatCode>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4-4364-85B6-B9AC70635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licationInventoryTable" displayName="ApplicationInventoryTable" ref="A1:T101">
  <tableColumns count="20">
    <tableColumn id="1" xr3:uid="{00000000-0010-0000-0000-000001000000}" name="App ID"/>
    <tableColumn id="2" xr3:uid="{00000000-0010-0000-0000-000002000000}" name="Application Name"/>
    <tableColumn id="3" xr3:uid="{00000000-0010-0000-0000-000003000000}" name="Business Domain"/>
    <tableColumn id="4" xr3:uid="{00000000-0010-0000-0000-000004000000}" name="Business Owner"/>
    <tableColumn id="5" xr3:uid="{00000000-0010-0000-0000-000005000000}" name="Technical Owner"/>
    <tableColumn id="6" xr3:uid="{00000000-0010-0000-0000-000006000000}" name="Executive Sponsor"/>
    <tableColumn id="7" xr3:uid="{00000000-0010-0000-0000-000007000000}" name="Criticality"/>
    <tableColumn id="8" xr3:uid="{00000000-0010-0000-0000-000008000000}" name="Current Platform"/>
    <tableColumn id="9" xr3:uid="{00000000-0010-0000-0000-000009000000}" name="Source Platform Type"/>
    <tableColumn id="10" xr3:uid="{00000000-0010-0000-0000-00000A000000}" name="Primary Workload Type"/>
    <tableColumn id="11" xr3:uid="{00000000-0010-0000-0000-00000B000000}" name="Description"/>
    <tableColumn id="12" xr3:uid="{00000000-0010-0000-0000-00000C000000}" name="Data Sensitivity"/>
    <tableColumn id="13" xr3:uid="{00000000-0010-0000-0000-00000D000000}" name="Regulatory Impact"/>
    <tableColumn id="14" xr3:uid="{00000000-0010-0000-0000-00000E000000}" name="Business SLA"/>
    <tableColumn id="15" xr3:uid="{00000000-0010-0000-0000-00000F000000}" name="Operational Status"/>
    <tableColumn id="16" xr3:uid="{00000000-0010-0000-0000-000010000000}" name="Inventory Status"/>
    <tableColumn id="17" xr3:uid="{00000000-0010-0000-0000-000011000000}" name="Discovery Confidence"/>
    <tableColumn id="18" xr3:uid="{00000000-0010-0000-0000-000012000000}" name="Known Workflow Count"/>
    <tableColumn id="19" xr3:uid="{00000000-0010-0000-0000-000013000000}" name="Known Dependency Count"/>
    <tableColumn id="20" xr3:uid="{00000000-0010-0000-0000-000014000000}" name="Modernization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orkflowInventoryTable" displayName="WorkflowInventoryTable" ref="A1:T101">
  <tableColumns count="20">
    <tableColumn id="1" xr3:uid="{00000000-0010-0000-0100-000001000000}" name="Workflow ID"/>
    <tableColumn id="2" xr3:uid="{00000000-0010-0000-0100-000002000000}" name="App ID"/>
    <tableColumn id="3" xr3:uid="{00000000-0010-0000-0100-000003000000}" name="Workflow / Job Name"/>
    <tableColumn id="4" xr3:uid="{00000000-0010-0000-0100-000004000000}" name="Workflow Type"/>
    <tableColumn id="5" xr3:uid="{00000000-0010-0000-0100-000005000000}" name="Source System"/>
    <tableColumn id="6" xr3:uid="{00000000-0010-0000-0100-000006000000}" name="Target System"/>
    <tableColumn id="7" xr3:uid="{00000000-0010-0000-0100-000007000000}" name="Orchestrator"/>
    <tableColumn id="8" xr3:uid="{00000000-0010-0000-0100-000008000000}" name="Frequency"/>
    <tableColumn id="9" xr3:uid="{00000000-0010-0000-0100-000009000000}" name="Runtime Window"/>
    <tableColumn id="10" xr3:uid="{00000000-0010-0000-0100-00000A000000}" name="Average Duration"/>
    <tableColumn id="11" xr3:uid="{00000000-0010-0000-0100-00000B000000}" name="SLA"/>
    <tableColumn id="12" xr3:uid="{00000000-0010-0000-0100-00000C000000}" name="Criticality"/>
    <tableColumn id="13" xr3:uid="{00000000-0010-0000-0100-00000D000000}" name="Transformation Complexity"/>
    <tableColumn id="14" xr3:uid="{00000000-0010-0000-0100-00000E000000}" name="Data Volume GB"/>
    <tableColumn id="15" xr3:uid="{00000000-0010-0000-0100-00000F000000}" name="Dependency Count"/>
    <tableColumn id="16" xr3:uid="{00000000-0010-0000-0100-000010000000}" name="Business Owner"/>
    <tableColumn id="17" xr3:uid="{00000000-0010-0000-0100-000011000000}" name="Technical Owner"/>
    <tableColumn id="18" xr3:uid="{00000000-0010-0000-0100-000012000000}" name="Inventory Status"/>
    <tableColumn id="19" xr3:uid="{00000000-0010-0000-0100-000013000000}" name="Discovery Confidence"/>
    <tableColumn id="20" xr3:uid="{00000000-0010-0000-0100-000014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pendenciesTable" displayName="DependenciesTable" ref="A1:R101">
  <tableColumns count="18">
    <tableColumn id="1" xr3:uid="{00000000-0010-0000-0200-000001000000}" name="Dependency ID"/>
    <tableColumn id="2" xr3:uid="{00000000-0010-0000-0200-000002000000}" name="Related App ID"/>
    <tableColumn id="3" xr3:uid="{00000000-0010-0000-0200-000003000000}" name="Related Workflow ID"/>
    <tableColumn id="4" xr3:uid="{00000000-0010-0000-0200-000004000000}" name="Dependency Name"/>
    <tableColumn id="5" xr3:uid="{00000000-0010-0000-0200-000005000000}" name="Dependency Type"/>
    <tableColumn id="6" xr3:uid="{00000000-0010-0000-0200-000006000000}" name="Direction"/>
    <tableColumn id="7" xr3:uid="{00000000-0010-0000-0200-000007000000}" name="Source / Provider"/>
    <tableColumn id="8" xr3:uid="{00000000-0010-0000-0200-000008000000}" name="Target / Consumer"/>
    <tableColumn id="9" xr3:uid="{00000000-0010-0000-0200-000009000000}" name="Interface Type"/>
    <tableColumn id="10" xr3:uid="{00000000-0010-0000-0200-00000A000000}" name="Frequency"/>
    <tableColumn id="11" xr3:uid="{00000000-0010-0000-0200-00000B000000}" name="Criticality"/>
    <tableColumn id="12" xr3:uid="{00000000-0010-0000-0200-00000C000000}" name="Known / Unknown"/>
    <tableColumn id="13" xr3:uid="{00000000-0010-0000-0200-00000D000000}" name="Owner"/>
    <tableColumn id="14" xr3:uid="{00000000-0010-0000-0200-00000E000000}" name="Validation Required"/>
    <tableColumn id="15" xr3:uid="{00000000-0010-0000-0200-00000F000000}" name="Risk Notes"/>
    <tableColumn id="16" xr3:uid="{00000000-0010-0000-0200-000010000000}" name="Inventory Status"/>
    <tableColumn id="17" xr3:uid="{00000000-0010-0000-0200-000011000000}" name="Discovery Confidence"/>
    <tableColumn id="18" xr3:uid="{00000000-0010-0000-0200-000012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opLeftCell="A9" workbookViewId="0">
      <selection activeCell="A16" sqref="A16:H18"/>
    </sheetView>
  </sheetViews>
  <sheetFormatPr defaultRowHeight="14.25"/>
  <cols>
    <col min="1" max="1" width="255" customWidth="1"/>
    <col min="2" max="2" width="93.75" customWidth="1"/>
    <col min="3" max="3" width="27.625" customWidth="1"/>
  </cols>
  <sheetData>
    <row r="1" spans="1:8" ht="18">
      <c r="A1" s="8" t="s">
        <v>0</v>
      </c>
      <c r="B1" s="8"/>
      <c r="C1" s="8"/>
      <c r="D1" s="8"/>
      <c r="E1" s="8"/>
      <c r="F1" s="8"/>
      <c r="G1" s="8"/>
      <c r="H1" s="8"/>
    </row>
    <row r="3" spans="1:8" ht="15">
      <c r="A3" s="1" t="s">
        <v>1</v>
      </c>
      <c r="B3" s="2" t="s">
        <v>2</v>
      </c>
    </row>
    <row r="4" spans="1:8" ht="15">
      <c r="A4" s="1" t="s">
        <v>3</v>
      </c>
      <c r="B4" s="2" t="s">
        <v>0</v>
      </c>
    </row>
    <row r="5" spans="1:8" ht="15">
      <c r="A5" s="1" t="s">
        <v>4</v>
      </c>
      <c r="B5" s="2" t="s">
        <v>5</v>
      </c>
    </row>
    <row r="6" spans="1:8" ht="15">
      <c r="A6" s="1" t="s">
        <v>6</v>
      </c>
      <c r="B6" s="2" t="s">
        <v>7</v>
      </c>
    </row>
    <row r="7" spans="1:8" ht="15">
      <c r="A7" s="1" t="s">
        <v>8</v>
      </c>
      <c r="B7" s="2" t="s">
        <v>9</v>
      </c>
    </row>
    <row r="8" spans="1:8" ht="15">
      <c r="A8" s="1" t="s">
        <v>10</v>
      </c>
      <c r="B8" s="2" t="s">
        <v>11</v>
      </c>
    </row>
    <row r="9" spans="1:8" ht="15">
      <c r="A9" s="1" t="s">
        <v>12</v>
      </c>
      <c r="B9" s="2" t="s">
        <v>13</v>
      </c>
    </row>
    <row r="10" spans="1:8" ht="15">
      <c r="A10" s="1" t="s">
        <v>14</v>
      </c>
      <c r="B10" s="2" t="s">
        <v>15</v>
      </c>
    </row>
    <row r="11" spans="1:8" ht="15">
      <c r="A11" s="1" t="s">
        <v>16</v>
      </c>
      <c r="B11" s="2" t="s">
        <v>17</v>
      </c>
    </row>
    <row r="12" spans="1:8" ht="15">
      <c r="A12" s="1" t="s">
        <v>18</v>
      </c>
      <c r="B12" s="2" t="s">
        <v>19</v>
      </c>
    </row>
    <row r="13" spans="1:8" ht="15">
      <c r="A13" s="1" t="s">
        <v>20</v>
      </c>
      <c r="B13" s="2" t="s">
        <v>21</v>
      </c>
    </row>
    <row r="15" spans="1:8" ht="15">
      <c r="A15" s="9" t="s">
        <v>22</v>
      </c>
      <c r="B15" s="9"/>
      <c r="C15" s="9"/>
      <c r="D15" s="9"/>
      <c r="E15" s="9"/>
      <c r="F15" s="9"/>
      <c r="G15" s="9"/>
      <c r="H15" s="9"/>
    </row>
    <row r="16" spans="1:8">
      <c r="A16" s="10" t="s">
        <v>23</v>
      </c>
      <c r="B16" s="10"/>
      <c r="C16" s="10"/>
      <c r="D16" s="10"/>
      <c r="E16" s="10"/>
      <c r="F16" s="10"/>
      <c r="G16" s="10"/>
      <c r="H16" s="10"/>
    </row>
    <row r="17" spans="1:8">
      <c r="A17" s="10"/>
      <c r="B17" s="10"/>
      <c r="C17" s="10"/>
      <c r="D17" s="10"/>
      <c r="E17" s="10"/>
      <c r="F17" s="10"/>
      <c r="G17" s="10"/>
      <c r="H17" s="10"/>
    </row>
    <row r="18" spans="1:8">
      <c r="A18" s="10"/>
      <c r="B18" s="10"/>
      <c r="C18" s="10"/>
      <c r="D18" s="10"/>
      <c r="E18" s="10"/>
      <c r="F18" s="10"/>
      <c r="G18" s="10"/>
      <c r="H18" s="10"/>
    </row>
    <row r="20" spans="1:8" ht="15">
      <c r="A20" s="9" t="s">
        <v>24</v>
      </c>
      <c r="B20" s="9"/>
      <c r="C20" s="9"/>
      <c r="D20" s="9"/>
      <c r="E20" s="9"/>
      <c r="F20" s="9"/>
      <c r="G20" s="9"/>
      <c r="H20" s="9"/>
    </row>
    <row r="21" spans="1:8" ht="15">
      <c r="A21" s="3" t="s">
        <v>25</v>
      </c>
      <c r="B21" s="3" t="s">
        <v>22</v>
      </c>
      <c r="C21" s="3" t="s">
        <v>20</v>
      </c>
    </row>
    <row r="22" spans="1:8" ht="28.5">
      <c r="A22" s="2" t="s">
        <v>26</v>
      </c>
      <c r="B22" s="2" t="s">
        <v>27</v>
      </c>
      <c r="C22" s="2" t="s">
        <v>28</v>
      </c>
    </row>
    <row r="23" spans="1:8" ht="28.5">
      <c r="A23" s="2" t="s">
        <v>29</v>
      </c>
      <c r="B23" s="2" t="s">
        <v>30</v>
      </c>
      <c r="C23" s="2" t="s">
        <v>31</v>
      </c>
    </row>
    <row r="24" spans="1:8" ht="28.5">
      <c r="A24" s="2" t="s">
        <v>32</v>
      </c>
      <c r="B24" s="2" t="s">
        <v>33</v>
      </c>
      <c r="C24" s="2" t="s">
        <v>34</v>
      </c>
    </row>
    <row r="25" spans="1:8">
      <c r="A25" s="2" t="s">
        <v>35</v>
      </c>
      <c r="B25" s="2" t="s">
        <v>36</v>
      </c>
      <c r="C25" s="2" t="s">
        <v>37</v>
      </c>
    </row>
    <row r="26" spans="1:8">
      <c r="A26" s="2" t="s">
        <v>38</v>
      </c>
      <c r="B26" s="2" t="s">
        <v>39</v>
      </c>
      <c r="C26" s="2" t="s">
        <v>21</v>
      </c>
    </row>
    <row r="28" spans="1:8" ht="15">
      <c r="A28" s="9" t="s">
        <v>40</v>
      </c>
      <c r="B28" s="9"/>
      <c r="C28" s="9"/>
      <c r="D28" s="9"/>
      <c r="E28" s="9"/>
      <c r="F28" s="9"/>
      <c r="G28" s="9"/>
      <c r="H28" s="9"/>
    </row>
    <row r="29" spans="1:8" ht="15">
      <c r="A29" s="4" t="s">
        <v>41</v>
      </c>
      <c r="B29" s="2" t="s">
        <v>42</v>
      </c>
      <c r="C29" s="2"/>
      <c r="D29" s="2"/>
      <c r="E29" s="2"/>
      <c r="F29" s="2"/>
      <c r="G29" s="2"/>
      <c r="H29" s="2"/>
    </row>
    <row r="30" spans="1:8" ht="15">
      <c r="A30" s="4" t="s">
        <v>43</v>
      </c>
      <c r="B30" s="2" t="s">
        <v>44</v>
      </c>
      <c r="C30" s="2"/>
      <c r="D30" s="2"/>
      <c r="E30" s="2"/>
      <c r="F30" s="2"/>
      <c r="G30" s="2"/>
      <c r="H30" s="2"/>
    </row>
    <row r="31" spans="1:8" ht="15">
      <c r="A31" s="4" t="s">
        <v>45</v>
      </c>
      <c r="B31" s="2" t="s">
        <v>46</v>
      </c>
      <c r="C31" s="2"/>
      <c r="D31" s="2"/>
      <c r="E31" s="2"/>
      <c r="F31" s="2"/>
      <c r="G31" s="2"/>
      <c r="H31" s="2"/>
    </row>
    <row r="32" spans="1:8" ht="15">
      <c r="A32" s="4" t="s">
        <v>47</v>
      </c>
      <c r="B32" s="2" t="s">
        <v>48</v>
      </c>
      <c r="C32" s="2"/>
      <c r="D32" s="2"/>
      <c r="E32" s="2"/>
      <c r="F32" s="2"/>
      <c r="G32" s="2"/>
      <c r="H32" s="2"/>
    </row>
    <row r="33" spans="1:8" ht="15">
      <c r="A33" s="4" t="s">
        <v>49</v>
      </c>
      <c r="B33" s="2" t="s">
        <v>50</v>
      </c>
      <c r="C33" s="2"/>
      <c r="D33" s="2"/>
      <c r="E33" s="2"/>
      <c r="F33" s="2"/>
      <c r="G33" s="2"/>
      <c r="H33" s="2"/>
    </row>
    <row r="34" spans="1:8" ht="28.5">
      <c r="A34" s="4" t="s">
        <v>51</v>
      </c>
      <c r="B34" s="2" t="s">
        <v>52</v>
      </c>
      <c r="C34" s="2"/>
      <c r="D34" s="2"/>
      <c r="E34" s="2"/>
      <c r="F34" s="2"/>
      <c r="G34" s="2"/>
      <c r="H34" s="2"/>
    </row>
    <row r="35" spans="1:8" ht="28.5">
      <c r="A35" s="4" t="s">
        <v>53</v>
      </c>
      <c r="B35" s="2" t="s">
        <v>54</v>
      </c>
      <c r="C35" s="2"/>
      <c r="D35" s="2"/>
      <c r="E35" s="2"/>
      <c r="F35" s="2"/>
      <c r="G35" s="2"/>
      <c r="H35" s="2"/>
    </row>
  </sheetData>
  <mergeCells count="5">
    <mergeCell ref="A1:H1"/>
    <mergeCell ref="A15:H15"/>
    <mergeCell ref="A16:H18"/>
    <mergeCell ref="A20:H20"/>
    <mergeCell ref="A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"/>
  <sheetViews>
    <sheetView workbookViewId="0"/>
  </sheetViews>
  <sheetFormatPr defaultRowHeight="14.25"/>
  <cols>
    <col min="1" max="1" width="8.25" customWidth="1"/>
    <col min="2" max="6" width="22" customWidth="1"/>
    <col min="7" max="7" width="10.25" customWidth="1"/>
    <col min="8" max="11" width="22" customWidth="1"/>
    <col min="12" max="12" width="14.875" customWidth="1"/>
    <col min="13" max="13" width="17" customWidth="1"/>
    <col min="14" max="14" width="12.75" customWidth="1"/>
    <col min="15" max="15" width="17.25" customWidth="1"/>
    <col min="16" max="16" width="15.5" customWidth="1"/>
    <col min="17" max="17" width="19.375" customWidth="1"/>
    <col min="18" max="18" width="21.25" customWidth="1"/>
    <col min="19" max="19" width="23.25" customWidth="1"/>
    <col min="20" max="20" width="22" customWidth="1"/>
  </cols>
  <sheetData>
    <row r="1" spans="1:26" ht="36" customHeight="1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  <c r="P1" s="3" t="s">
        <v>70</v>
      </c>
      <c r="Q1" s="3" t="s">
        <v>71</v>
      </c>
      <c r="R1" s="3" t="s">
        <v>72</v>
      </c>
      <c r="S1" s="3" t="s">
        <v>73</v>
      </c>
      <c r="T1" s="3" t="s">
        <v>74</v>
      </c>
      <c r="U1" s="5"/>
      <c r="V1" s="5"/>
      <c r="W1" s="5"/>
      <c r="X1" s="5"/>
      <c r="Y1" s="5"/>
      <c r="Z1" s="5"/>
    </row>
    <row r="2" spans="1:26" ht="57">
      <c r="A2" s="2" t="s">
        <v>75</v>
      </c>
      <c r="B2" s="2" t="s">
        <v>76</v>
      </c>
      <c r="C2" s="2" t="s">
        <v>77</v>
      </c>
      <c r="D2" s="2" t="s">
        <v>78</v>
      </c>
      <c r="E2" s="2" t="s">
        <v>78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85</v>
      </c>
      <c r="N2" s="2" t="s">
        <v>86</v>
      </c>
      <c r="O2" s="2" t="s">
        <v>87</v>
      </c>
      <c r="P2" s="2" t="s">
        <v>88</v>
      </c>
      <c r="Q2" s="2" t="s">
        <v>89</v>
      </c>
      <c r="R2" s="2">
        <v>3</v>
      </c>
      <c r="S2" s="2">
        <v>4</v>
      </c>
      <c r="T2" s="2" t="s">
        <v>90</v>
      </c>
      <c r="U2" s="5"/>
      <c r="V2" s="5"/>
      <c r="W2" s="5"/>
      <c r="X2" s="5"/>
      <c r="Y2" s="5"/>
      <c r="Z2" s="5"/>
    </row>
    <row r="3" spans="1:26" ht="42.75">
      <c r="A3" s="2" t="s">
        <v>91</v>
      </c>
      <c r="B3" s="2" t="s">
        <v>92</v>
      </c>
      <c r="C3" s="2" t="s">
        <v>93</v>
      </c>
      <c r="D3" s="2" t="s">
        <v>78</v>
      </c>
      <c r="E3" s="2" t="s">
        <v>78</v>
      </c>
      <c r="F3" s="2" t="s">
        <v>78</v>
      </c>
      <c r="G3" s="2" t="s">
        <v>94</v>
      </c>
      <c r="H3" s="2" t="s">
        <v>95</v>
      </c>
      <c r="I3" s="2" t="s">
        <v>95</v>
      </c>
      <c r="J3" s="2" t="s">
        <v>96</v>
      </c>
      <c r="K3" s="2" t="s">
        <v>97</v>
      </c>
      <c r="L3" s="2" t="s">
        <v>98</v>
      </c>
      <c r="M3" s="2" t="s">
        <v>85</v>
      </c>
      <c r="N3" s="2" t="s">
        <v>99</v>
      </c>
      <c r="O3" s="2" t="s">
        <v>87</v>
      </c>
      <c r="P3" s="2" t="s">
        <v>88</v>
      </c>
      <c r="Q3" s="2" t="s">
        <v>100</v>
      </c>
      <c r="R3" s="2">
        <v>5</v>
      </c>
      <c r="S3" s="2">
        <v>8</v>
      </c>
      <c r="T3" s="2" t="s">
        <v>101</v>
      </c>
      <c r="U3" s="5"/>
      <c r="V3" s="5"/>
      <c r="W3" s="5"/>
      <c r="X3" s="5"/>
      <c r="Y3" s="5"/>
      <c r="Z3" s="5"/>
    </row>
    <row r="4" spans="1:26" ht="42.75">
      <c r="A4" s="2" t="s">
        <v>102</v>
      </c>
      <c r="B4" s="2" t="s">
        <v>103</v>
      </c>
      <c r="C4" s="2" t="s">
        <v>104</v>
      </c>
      <c r="D4" s="2" t="s">
        <v>78</v>
      </c>
      <c r="E4" s="2" t="s">
        <v>78</v>
      </c>
      <c r="F4" s="2" t="s">
        <v>78</v>
      </c>
      <c r="G4" s="2" t="s">
        <v>89</v>
      </c>
      <c r="H4" s="2" t="s">
        <v>105</v>
      </c>
      <c r="I4" s="2" t="s">
        <v>106</v>
      </c>
      <c r="J4" s="2" t="s">
        <v>107</v>
      </c>
      <c r="K4" s="2" t="s">
        <v>108</v>
      </c>
      <c r="L4" s="2" t="s">
        <v>109</v>
      </c>
      <c r="M4" s="2" t="s">
        <v>110</v>
      </c>
      <c r="N4" s="2" t="s">
        <v>111</v>
      </c>
      <c r="O4" s="2" t="s">
        <v>87</v>
      </c>
      <c r="P4" s="2" t="s">
        <v>112</v>
      </c>
      <c r="Q4" s="2" t="s">
        <v>89</v>
      </c>
      <c r="R4" s="2">
        <v>2</v>
      </c>
      <c r="S4" s="2">
        <v>3</v>
      </c>
      <c r="T4" s="2" t="s">
        <v>113</v>
      </c>
      <c r="U4" s="5"/>
      <c r="V4" s="5"/>
      <c r="W4" s="5"/>
      <c r="X4" s="5"/>
      <c r="Y4" s="5"/>
      <c r="Z4" s="5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5"/>
      <c r="V5" s="5"/>
      <c r="W5" s="5"/>
      <c r="X5" s="5"/>
      <c r="Y5" s="5"/>
      <c r="Z5" s="5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5"/>
      <c r="V6" s="5"/>
      <c r="W6" s="5"/>
      <c r="X6" s="5"/>
      <c r="Y6" s="5"/>
      <c r="Z6" s="5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5"/>
      <c r="V7" s="5"/>
      <c r="W7" s="5"/>
      <c r="X7" s="5"/>
      <c r="Y7" s="5"/>
      <c r="Z7" s="5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5"/>
      <c r="V8" s="5"/>
      <c r="W8" s="5"/>
      <c r="X8" s="5"/>
      <c r="Y8" s="5"/>
      <c r="Z8" s="5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5"/>
      <c r="V9" s="5"/>
      <c r="W9" s="5"/>
      <c r="X9" s="5"/>
      <c r="Y9" s="5"/>
      <c r="Z9" s="5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5"/>
      <c r="V10" s="5"/>
      <c r="W10" s="5"/>
      <c r="X10" s="5"/>
      <c r="Y10" s="5"/>
      <c r="Z10" s="5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5"/>
      <c r="V11" s="5"/>
      <c r="W11" s="5"/>
      <c r="X11" s="5"/>
      <c r="Y11" s="5"/>
      <c r="Z11" s="5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5"/>
      <c r="V12" s="5"/>
      <c r="W12" s="5"/>
      <c r="X12" s="5"/>
      <c r="Y12" s="5"/>
      <c r="Z12" s="5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5"/>
      <c r="Z13" s="5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5"/>
      <c r="V14" s="5"/>
      <c r="W14" s="5"/>
      <c r="X14" s="5"/>
      <c r="Y14" s="5"/>
      <c r="Z14" s="5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5"/>
      <c r="V15" s="5"/>
      <c r="W15" s="5"/>
      <c r="X15" s="5"/>
      <c r="Y15" s="5"/>
      <c r="Z15" s="5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5"/>
      <c r="V16" s="5"/>
      <c r="W16" s="5"/>
      <c r="X16" s="5"/>
      <c r="Y16" s="5"/>
      <c r="Z16" s="5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5"/>
      <c r="V17" s="5"/>
      <c r="W17" s="5"/>
      <c r="X17" s="5"/>
      <c r="Y17" s="5"/>
      <c r="Z17" s="5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5"/>
      <c r="V18" s="5"/>
      <c r="W18" s="5"/>
      <c r="X18" s="5"/>
      <c r="Y18" s="5"/>
      <c r="Z18" s="5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5"/>
      <c r="V19" s="5"/>
      <c r="W19" s="5"/>
      <c r="X19" s="5"/>
      <c r="Y19" s="5"/>
      <c r="Z19" s="5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"/>
      <c r="V20" s="5"/>
      <c r="W20" s="5"/>
      <c r="X20" s="5"/>
      <c r="Y20" s="5"/>
      <c r="Z20" s="5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5"/>
      <c r="V21" s="5"/>
      <c r="W21" s="5"/>
      <c r="X21" s="5"/>
      <c r="Y21" s="5"/>
      <c r="Z21" s="5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5"/>
      <c r="V22" s="5"/>
      <c r="W22" s="5"/>
      <c r="X22" s="5"/>
      <c r="Y22" s="5"/>
      <c r="Z22" s="5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5"/>
      <c r="V23" s="5"/>
      <c r="W23" s="5"/>
      <c r="X23" s="5"/>
      <c r="Y23" s="5"/>
      <c r="Z23" s="5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5"/>
      <c r="V24" s="5"/>
      <c r="W24" s="5"/>
      <c r="X24" s="5"/>
      <c r="Y24" s="5"/>
      <c r="Z24" s="5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5"/>
      <c r="V25" s="5"/>
      <c r="W25" s="5"/>
      <c r="X25" s="5"/>
      <c r="Y25" s="5"/>
      <c r="Z25" s="5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5"/>
      <c r="V26" s="5"/>
      <c r="W26" s="5"/>
      <c r="X26" s="5"/>
      <c r="Y26" s="5"/>
      <c r="Z26" s="5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5"/>
      <c r="V27" s="5"/>
      <c r="W27" s="5"/>
      <c r="X27" s="5"/>
      <c r="Y27" s="5"/>
      <c r="Z27" s="5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5"/>
      <c r="V28" s="5"/>
      <c r="W28" s="5"/>
      <c r="X28" s="5"/>
      <c r="Y28" s="5"/>
      <c r="Z28" s="5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5"/>
      <c r="V29" s="5"/>
      <c r="W29" s="5"/>
      <c r="X29" s="5"/>
      <c r="Y29" s="5"/>
      <c r="Z29" s="5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5"/>
      <c r="V30" s="5"/>
      <c r="W30" s="5"/>
      <c r="X30" s="5"/>
      <c r="Y30" s="5"/>
      <c r="Z30" s="5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5"/>
      <c r="V31" s="5"/>
      <c r="W31" s="5"/>
      <c r="X31" s="5"/>
      <c r="Y31" s="5"/>
      <c r="Z31" s="5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5"/>
      <c r="V32" s="5"/>
      <c r="W32" s="5"/>
      <c r="X32" s="5"/>
      <c r="Y32" s="5"/>
      <c r="Z32" s="5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5"/>
      <c r="V33" s="5"/>
      <c r="W33" s="5"/>
      <c r="X33" s="5"/>
      <c r="Y33" s="5"/>
      <c r="Z33" s="5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"/>
      <c r="V34" s="5"/>
      <c r="W34" s="5"/>
      <c r="X34" s="5"/>
      <c r="Y34" s="5"/>
      <c r="Z34" s="5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5"/>
      <c r="V35" s="5"/>
      <c r="W35" s="5"/>
      <c r="X35" s="5"/>
      <c r="Y35" s="5"/>
      <c r="Z35" s="5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5"/>
      <c r="V36" s="5"/>
      <c r="W36" s="5"/>
      <c r="X36" s="5"/>
      <c r="Y36" s="5"/>
      <c r="Z36" s="5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5"/>
      <c r="V37" s="5"/>
      <c r="W37" s="5"/>
      <c r="X37" s="5"/>
      <c r="Y37" s="5"/>
      <c r="Z37" s="5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5"/>
      <c r="V38" s="5"/>
      <c r="W38" s="5"/>
      <c r="X38" s="5"/>
      <c r="Y38" s="5"/>
      <c r="Z38" s="5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5"/>
      <c r="V39" s="5"/>
      <c r="W39" s="5"/>
      <c r="X39" s="5"/>
      <c r="Y39" s="5"/>
      <c r="Z39" s="5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5"/>
      <c r="V40" s="5"/>
      <c r="W40" s="5"/>
      <c r="X40" s="5"/>
      <c r="Y40" s="5"/>
      <c r="Z40" s="5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5"/>
      <c r="V41" s="5"/>
      <c r="W41" s="5"/>
      <c r="X41" s="5"/>
      <c r="Y41" s="5"/>
      <c r="Z41" s="5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5"/>
      <c r="V42" s="5"/>
      <c r="W42" s="5"/>
      <c r="X42" s="5"/>
      <c r="Y42" s="5"/>
      <c r="Z42" s="5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5"/>
      <c r="V43" s="5"/>
      <c r="W43" s="5"/>
      <c r="X43" s="5"/>
      <c r="Y43" s="5"/>
      <c r="Z43" s="5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5"/>
      <c r="V44" s="5"/>
      <c r="W44" s="5"/>
      <c r="X44" s="5"/>
      <c r="Y44" s="5"/>
      <c r="Z44" s="5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5"/>
      <c r="V45" s="5"/>
      <c r="W45" s="5"/>
      <c r="X45" s="5"/>
      <c r="Y45" s="5"/>
      <c r="Z45" s="5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5"/>
      <c r="V46" s="5"/>
      <c r="W46" s="5"/>
      <c r="X46" s="5"/>
      <c r="Y46" s="5"/>
      <c r="Z46" s="5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5"/>
      <c r="V47" s="5"/>
      <c r="W47" s="5"/>
      <c r="X47" s="5"/>
      <c r="Y47" s="5"/>
      <c r="Z47" s="5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5"/>
      <c r="V48" s="5"/>
      <c r="W48" s="5"/>
      <c r="X48" s="5"/>
      <c r="Y48" s="5"/>
      <c r="Z48" s="5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5"/>
      <c r="V49" s="5"/>
      <c r="W49" s="5"/>
      <c r="X49" s="5"/>
      <c r="Y49" s="5"/>
      <c r="Z49" s="5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5"/>
      <c r="V50" s="5"/>
      <c r="W50" s="5"/>
      <c r="X50" s="5"/>
      <c r="Y50" s="5"/>
      <c r="Z50" s="5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5"/>
      <c r="V51" s="5"/>
      <c r="W51" s="5"/>
      <c r="X51" s="5"/>
      <c r="Y51" s="5"/>
      <c r="Z51" s="5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5"/>
      <c r="V52" s="5"/>
      <c r="W52" s="5"/>
      <c r="X52" s="5"/>
      <c r="Y52" s="5"/>
      <c r="Z52" s="5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5"/>
      <c r="V53" s="5"/>
      <c r="W53" s="5"/>
      <c r="X53" s="5"/>
      <c r="Y53" s="5"/>
      <c r="Z53" s="5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5"/>
      <c r="V54" s="5"/>
      <c r="W54" s="5"/>
      <c r="X54" s="5"/>
      <c r="Y54" s="5"/>
      <c r="Z54" s="5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5"/>
      <c r="V55" s="5"/>
      <c r="W55" s="5"/>
      <c r="X55" s="5"/>
      <c r="Y55" s="5"/>
      <c r="Z55" s="5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5"/>
      <c r="V56" s="5"/>
      <c r="W56" s="5"/>
      <c r="X56" s="5"/>
      <c r="Y56" s="5"/>
      <c r="Z56" s="5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5"/>
      <c r="V57" s="5"/>
      <c r="W57" s="5"/>
      <c r="X57" s="5"/>
      <c r="Y57" s="5"/>
      <c r="Z57" s="5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5"/>
      <c r="V58" s="5"/>
      <c r="W58" s="5"/>
      <c r="X58" s="5"/>
      <c r="Y58" s="5"/>
      <c r="Z58" s="5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5"/>
      <c r="V59" s="5"/>
      <c r="W59" s="5"/>
      <c r="X59" s="5"/>
      <c r="Y59" s="5"/>
      <c r="Z59" s="5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5"/>
      <c r="V60" s="5"/>
      <c r="W60" s="5"/>
      <c r="X60" s="5"/>
      <c r="Y60" s="5"/>
      <c r="Z60" s="5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5"/>
      <c r="V61" s="5"/>
      <c r="W61" s="5"/>
      <c r="X61" s="5"/>
      <c r="Y61" s="5"/>
      <c r="Z61" s="5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5"/>
      <c r="V62" s="5"/>
      <c r="W62" s="5"/>
      <c r="X62" s="5"/>
      <c r="Y62" s="5"/>
      <c r="Z62" s="5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5"/>
      <c r="V63" s="5"/>
      <c r="W63" s="5"/>
      <c r="X63" s="5"/>
      <c r="Y63" s="5"/>
      <c r="Z63" s="5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5"/>
      <c r="V64" s="5"/>
      <c r="W64" s="5"/>
      <c r="X64" s="5"/>
      <c r="Y64" s="5"/>
      <c r="Z64" s="5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5"/>
      <c r="V65" s="5"/>
      <c r="W65" s="5"/>
      <c r="X65" s="5"/>
      <c r="Y65" s="5"/>
      <c r="Z65" s="5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5"/>
      <c r="V66" s="5"/>
      <c r="W66" s="5"/>
      <c r="X66" s="5"/>
      <c r="Y66" s="5"/>
      <c r="Z66" s="5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5"/>
      <c r="V67" s="5"/>
      <c r="W67" s="5"/>
      <c r="X67" s="5"/>
      <c r="Y67" s="5"/>
      <c r="Z67" s="5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5"/>
      <c r="V68" s="5"/>
      <c r="W68" s="5"/>
      <c r="X68" s="5"/>
      <c r="Y68" s="5"/>
      <c r="Z68" s="5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5"/>
      <c r="V69" s="5"/>
      <c r="W69" s="5"/>
      <c r="X69" s="5"/>
      <c r="Y69" s="5"/>
      <c r="Z69" s="5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5"/>
      <c r="V70" s="5"/>
      <c r="W70" s="5"/>
      <c r="X70" s="5"/>
      <c r="Y70" s="5"/>
      <c r="Z70" s="5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5"/>
      <c r="V71" s="5"/>
      <c r="W71" s="5"/>
      <c r="X71" s="5"/>
      <c r="Y71" s="5"/>
      <c r="Z71" s="5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5"/>
      <c r="V72" s="5"/>
      <c r="W72" s="5"/>
      <c r="X72" s="5"/>
      <c r="Y72" s="5"/>
      <c r="Z72" s="5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5"/>
      <c r="V73" s="5"/>
      <c r="W73" s="5"/>
      <c r="X73" s="5"/>
      <c r="Y73" s="5"/>
      <c r="Z73" s="5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5"/>
      <c r="V74" s="5"/>
      <c r="W74" s="5"/>
      <c r="X74" s="5"/>
      <c r="Y74" s="5"/>
      <c r="Z74" s="5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5"/>
      <c r="V75" s="5"/>
      <c r="W75" s="5"/>
      <c r="X75" s="5"/>
      <c r="Y75" s="5"/>
      <c r="Z75" s="5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5"/>
      <c r="V76" s="5"/>
      <c r="W76" s="5"/>
      <c r="X76" s="5"/>
      <c r="Y76" s="5"/>
      <c r="Z76" s="5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5"/>
      <c r="V77" s="5"/>
      <c r="W77" s="5"/>
      <c r="X77" s="5"/>
      <c r="Y77" s="5"/>
      <c r="Z77" s="5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5"/>
      <c r="V78" s="5"/>
      <c r="W78" s="5"/>
      <c r="X78" s="5"/>
      <c r="Y78" s="5"/>
      <c r="Z78" s="5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5"/>
      <c r="V79" s="5"/>
      <c r="W79" s="5"/>
      <c r="X79" s="5"/>
      <c r="Y79" s="5"/>
      <c r="Z79" s="5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5"/>
      <c r="V80" s="5"/>
      <c r="W80" s="5"/>
      <c r="X80" s="5"/>
      <c r="Y80" s="5"/>
      <c r="Z80" s="5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5"/>
      <c r="V81" s="5"/>
      <c r="W81" s="5"/>
      <c r="X81" s="5"/>
      <c r="Y81" s="5"/>
      <c r="Z81" s="5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5"/>
      <c r="V82" s="5"/>
      <c r="W82" s="5"/>
      <c r="X82" s="5"/>
      <c r="Y82" s="5"/>
      <c r="Z82" s="5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5"/>
      <c r="V83" s="5"/>
      <c r="W83" s="5"/>
      <c r="X83" s="5"/>
      <c r="Y83" s="5"/>
      <c r="Z83" s="5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5"/>
      <c r="V84" s="5"/>
      <c r="W84" s="5"/>
      <c r="X84" s="5"/>
      <c r="Y84" s="5"/>
      <c r="Z84" s="5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5"/>
      <c r="V85" s="5"/>
      <c r="W85" s="5"/>
      <c r="X85" s="5"/>
      <c r="Y85" s="5"/>
      <c r="Z85" s="5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5"/>
      <c r="V86" s="5"/>
      <c r="W86" s="5"/>
      <c r="X86" s="5"/>
      <c r="Y86" s="5"/>
      <c r="Z86" s="5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5"/>
      <c r="V87" s="5"/>
      <c r="W87" s="5"/>
      <c r="X87" s="5"/>
      <c r="Y87" s="5"/>
      <c r="Z87" s="5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5"/>
      <c r="V88" s="5"/>
      <c r="W88" s="5"/>
      <c r="X88" s="5"/>
      <c r="Y88" s="5"/>
      <c r="Z88" s="5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5"/>
      <c r="V89" s="5"/>
      <c r="W89" s="5"/>
      <c r="X89" s="5"/>
      <c r="Y89" s="5"/>
      <c r="Z89" s="5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5"/>
      <c r="V90" s="5"/>
      <c r="W90" s="5"/>
      <c r="X90" s="5"/>
      <c r="Y90" s="5"/>
      <c r="Z90" s="5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5"/>
      <c r="V91" s="5"/>
      <c r="W91" s="5"/>
      <c r="X91" s="5"/>
      <c r="Y91" s="5"/>
      <c r="Z91" s="5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5"/>
      <c r="V92" s="5"/>
      <c r="W92" s="5"/>
      <c r="X92" s="5"/>
      <c r="Y92" s="5"/>
      <c r="Z92" s="5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5"/>
      <c r="V93" s="5"/>
      <c r="W93" s="5"/>
      <c r="X93" s="5"/>
      <c r="Y93" s="5"/>
      <c r="Z93" s="5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5"/>
      <c r="V94" s="5"/>
      <c r="W94" s="5"/>
      <c r="X94" s="5"/>
      <c r="Y94" s="5"/>
      <c r="Z94" s="5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5"/>
      <c r="V95" s="5"/>
      <c r="W95" s="5"/>
      <c r="X95" s="5"/>
      <c r="Y95" s="5"/>
      <c r="Z95" s="5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5"/>
      <c r="V96" s="5"/>
      <c r="W96" s="5"/>
      <c r="X96" s="5"/>
      <c r="Y96" s="5"/>
      <c r="Z96" s="5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5"/>
      <c r="V97" s="5"/>
      <c r="W97" s="5"/>
      <c r="X97" s="5"/>
      <c r="Y97" s="5"/>
      <c r="Z97" s="5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5"/>
      <c r="V98" s="5"/>
      <c r="W98" s="5"/>
      <c r="X98" s="5"/>
      <c r="Y98" s="5"/>
      <c r="Z98" s="5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5"/>
      <c r="V99" s="5"/>
      <c r="W99" s="5"/>
      <c r="X99" s="5"/>
      <c r="Y99" s="5"/>
      <c r="Z99" s="5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5"/>
      <c r="V100" s="5"/>
      <c r="W100" s="5"/>
      <c r="X100" s="5"/>
      <c r="Y100" s="5"/>
      <c r="Z100" s="5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5"/>
      <c r="V101" s="5"/>
      <c r="W101" s="5"/>
      <c r="X101" s="5"/>
      <c r="Y101" s="5"/>
      <c r="Z101" s="5"/>
    </row>
  </sheetData>
  <conditionalFormatting sqref="G2:G101">
    <cfRule type="expression" dxfId="8" priority="1">
      <formula>OR($G2="Critical",$G2="High")</formula>
    </cfRule>
  </conditionalFormatting>
  <conditionalFormatting sqref="P2:P101">
    <cfRule type="expression" dxfId="7" priority="2">
      <formula>OR($P2="Blocked",$P2="Unknown",$P2="Not Started")</formula>
    </cfRule>
  </conditionalFormatting>
  <conditionalFormatting sqref="Q2:Q101">
    <cfRule type="expression" dxfId="6" priority="3">
      <formula>OR($Q2="Low",$Q2="Unknown")</formula>
    </cfRule>
  </conditionalFormatting>
  <dataValidations count="7">
    <dataValidation type="list" sqref="G2:G101" xr:uid="{00000000-0002-0000-0100-000000000000}">
      <formula1>"Critical,High,Medium,Low,Unknown"</formula1>
    </dataValidation>
    <dataValidation type="list" sqref="I2:I101" xr:uid="{00000000-0002-0000-0100-000001000000}">
      <formula1>"Informatica,Mainframe,SSIS,DataStage,Hadoop,Teradata,Oracle ETL,SQL Scripts,Custom Pipelines,Other,Unknown"</formula1>
    </dataValidation>
    <dataValidation type="list" sqref="J2:J101" xr:uid="{00000000-0002-0000-0100-000002000000}">
      <formula1>"Batch ETL,Streaming,Reporting,Data Warehouse,Data Mart,File Processing,API Integration,Mainframe Batch,Analytics,Other,Unknown"</formula1>
    </dataValidation>
    <dataValidation type="list" sqref="L2:L101" xr:uid="{00000000-0002-0000-0100-000003000000}">
      <formula1>"Public,Internal,Confidential,Restricted,Regulated,Unknown"</formula1>
    </dataValidation>
    <dataValidation type="list" sqref="O2:O101" xr:uid="{00000000-0002-0000-0100-000004000000}">
      <formula1>"Active,Inactive,Retiring,Planned,Unknown"</formula1>
    </dataValidation>
    <dataValidation type="list" sqref="P2:P101" xr:uid="{00000000-0002-0000-0100-000005000000}">
      <formula1>"Not Started,In Progress,Drafted,Reviewed,Confirmed,Blocked,Unknown"</formula1>
    </dataValidation>
    <dataValidation type="list" sqref="Q2:Q101" xr:uid="{00000000-0002-0000-0100-000006000000}">
      <formula1>"High,Medium,Low,Unknown"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"/>
  <sheetViews>
    <sheetView topLeftCell="J1" workbookViewId="0"/>
  </sheetViews>
  <sheetFormatPr defaultRowHeight="14.25"/>
  <cols>
    <col min="1" max="1" width="12.625" customWidth="1"/>
    <col min="2" max="2" width="8.25" customWidth="1"/>
    <col min="3" max="3" width="22" customWidth="1"/>
    <col min="4" max="4" width="14.625" customWidth="1"/>
    <col min="5" max="7" width="22" customWidth="1"/>
    <col min="8" max="8" width="11" customWidth="1"/>
    <col min="9" max="11" width="22" customWidth="1"/>
    <col min="12" max="12" width="10.25" customWidth="1"/>
    <col min="13" max="13" width="23.625" customWidth="1"/>
    <col min="14" max="14" width="15.5" customWidth="1"/>
    <col min="15" max="15" width="17.5" customWidth="1"/>
    <col min="16" max="16" width="15.25" customWidth="1"/>
    <col min="17" max="17" width="15.625" customWidth="1"/>
    <col min="18" max="18" width="15.5" customWidth="1"/>
    <col min="19" max="19" width="19.375" customWidth="1"/>
    <col min="20" max="20" width="22" customWidth="1"/>
  </cols>
  <sheetData>
    <row r="1" spans="1:26" ht="36" customHeight="1">
      <c r="A1" s="3" t="s">
        <v>114</v>
      </c>
      <c r="B1" s="3" t="s">
        <v>55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61</v>
      </c>
      <c r="M1" s="3" t="s">
        <v>124</v>
      </c>
      <c r="N1" s="3" t="s">
        <v>125</v>
      </c>
      <c r="O1" s="3" t="s">
        <v>126</v>
      </c>
      <c r="P1" s="3" t="s">
        <v>58</v>
      </c>
      <c r="Q1" s="3" t="s">
        <v>59</v>
      </c>
      <c r="R1" s="3" t="s">
        <v>70</v>
      </c>
      <c r="S1" s="3" t="s">
        <v>71</v>
      </c>
      <c r="T1" s="3" t="s">
        <v>127</v>
      </c>
      <c r="U1" s="5"/>
      <c r="V1" s="5"/>
      <c r="W1" s="5"/>
      <c r="X1" s="5"/>
      <c r="Y1" s="5"/>
      <c r="Z1" s="5"/>
    </row>
    <row r="2" spans="1:26">
      <c r="A2" s="2" t="s">
        <v>128</v>
      </c>
      <c r="B2" s="2" t="s">
        <v>75</v>
      </c>
      <c r="C2" s="2" t="s">
        <v>129</v>
      </c>
      <c r="D2" s="2" t="s">
        <v>82</v>
      </c>
      <c r="E2" s="2" t="s">
        <v>130</v>
      </c>
      <c r="F2" s="2" t="s">
        <v>131</v>
      </c>
      <c r="G2" s="2" t="s">
        <v>81</v>
      </c>
      <c r="H2" s="2" t="s">
        <v>99</v>
      </c>
      <c r="I2" s="2" t="s">
        <v>132</v>
      </c>
      <c r="J2" s="2" t="s">
        <v>133</v>
      </c>
      <c r="K2" s="2" t="s">
        <v>134</v>
      </c>
      <c r="L2" s="2" t="s">
        <v>79</v>
      </c>
      <c r="M2" s="2" t="s">
        <v>79</v>
      </c>
      <c r="N2" s="2">
        <v>250</v>
      </c>
      <c r="O2" s="2">
        <v>3</v>
      </c>
      <c r="P2" s="2" t="s">
        <v>78</v>
      </c>
      <c r="Q2" s="2" t="s">
        <v>78</v>
      </c>
      <c r="R2" s="2" t="s">
        <v>88</v>
      </c>
      <c r="S2" s="2" t="s">
        <v>89</v>
      </c>
      <c r="T2" s="2" t="s">
        <v>135</v>
      </c>
      <c r="U2" s="5"/>
      <c r="V2" s="5"/>
      <c r="W2" s="5"/>
      <c r="X2" s="5"/>
      <c r="Y2" s="5"/>
      <c r="Z2" s="5"/>
    </row>
    <row r="3" spans="1:26" ht="28.5">
      <c r="A3" s="2" t="s">
        <v>136</v>
      </c>
      <c r="B3" s="2" t="s">
        <v>91</v>
      </c>
      <c r="C3" s="2" t="s">
        <v>137</v>
      </c>
      <c r="D3" s="2" t="s">
        <v>96</v>
      </c>
      <c r="E3" s="2" t="s">
        <v>138</v>
      </c>
      <c r="F3" s="2" t="s">
        <v>139</v>
      </c>
      <c r="G3" s="2" t="s">
        <v>140</v>
      </c>
      <c r="H3" s="2" t="s">
        <v>99</v>
      </c>
      <c r="I3" s="2" t="s">
        <v>141</v>
      </c>
      <c r="J3" s="2" t="s">
        <v>142</v>
      </c>
      <c r="K3" s="2" t="s">
        <v>143</v>
      </c>
      <c r="L3" s="2" t="s">
        <v>94</v>
      </c>
      <c r="M3" s="2" t="s">
        <v>144</v>
      </c>
      <c r="N3" s="2">
        <v>500</v>
      </c>
      <c r="O3" s="2">
        <v>6</v>
      </c>
      <c r="P3" s="2" t="s">
        <v>78</v>
      </c>
      <c r="Q3" s="2" t="s">
        <v>78</v>
      </c>
      <c r="R3" s="2" t="s">
        <v>88</v>
      </c>
      <c r="S3" s="2" t="s">
        <v>100</v>
      </c>
      <c r="T3" s="2" t="s">
        <v>135</v>
      </c>
      <c r="U3" s="5"/>
      <c r="V3" s="5"/>
      <c r="W3" s="5"/>
      <c r="X3" s="5"/>
      <c r="Y3" s="5"/>
      <c r="Z3" s="5"/>
    </row>
    <row r="4" spans="1:26">
      <c r="A4" s="2" t="s">
        <v>145</v>
      </c>
      <c r="B4" s="2" t="s">
        <v>102</v>
      </c>
      <c r="C4" s="2" t="s">
        <v>146</v>
      </c>
      <c r="D4" s="2" t="s">
        <v>107</v>
      </c>
      <c r="E4" s="2" t="s">
        <v>105</v>
      </c>
      <c r="F4" s="2" t="s">
        <v>105</v>
      </c>
      <c r="G4" s="2" t="s">
        <v>147</v>
      </c>
      <c r="H4" s="2" t="s">
        <v>111</v>
      </c>
      <c r="I4" s="2" t="s">
        <v>148</v>
      </c>
      <c r="J4" s="2" t="s">
        <v>149</v>
      </c>
      <c r="K4" s="2" t="s">
        <v>150</v>
      </c>
      <c r="L4" s="2" t="s">
        <v>89</v>
      </c>
      <c r="M4" s="2" t="s">
        <v>89</v>
      </c>
      <c r="N4" s="2">
        <v>50</v>
      </c>
      <c r="O4" s="2">
        <v>2</v>
      </c>
      <c r="P4" s="2" t="s">
        <v>78</v>
      </c>
      <c r="Q4" s="2" t="s">
        <v>78</v>
      </c>
      <c r="R4" s="2" t="s">
        <v>112</v>
      </c>
      <c r="S4" s="2" t="s">
        <v>89</v>
      </c>
      <c r="T4" s="2" t="s">
        <v>135</v>
      </c>
      <c r="U4" s="5"/>
      <c r="V4" s="5"/>
      <c r="W4" s="5"/>
      <c r="X4" s="5"/>
      <c r="Y4" s="5"/>
      <c r="Z4" s="5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5"/>
      <c r="V5" s="5"/>
      <c r="W5" s="5"/>
      <c r="X5" s="5"/>
      <c r="Y5" s="5"/>
      <c r="Z5" s="5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5"/>
      <c r="V6" s="5"/>
      <c r="W6" s="5"/>
      <c r="X6" s="5"/>
      <c r="Y6" s="5"/>
      <c r="Z6" s="5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5"/>
      <c r="V7" s="5"/>
      <c r="W7" s="5"/>
      <c r="X7" s="5"/>
      <c r="Y7" s="5"/>
      <c r="Z7" s="5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5"/>
      <c r="V8" s="5"/>
      <c r="W8" s="5"/>
      <c r="X8" s="5"/>
      <c r="Y8" s="5"/>
      <c r="Z8" s="5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5"/>
      <c r="V9" s="5"/>
      <c r="W9" s="5"/>
      <c r="X9" s="5"/>
      <c r="Y9" s="5"/>
      <c r="Z9" s="5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5"/>
      <c r="V10" s="5"/>
      <c r="W10" s="5"/>
      <c r="X10" s="5"/>
      <c r="Y10" s="5"/>
      <c r="Z10" s="5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5"/>
      <c r="V11" s="5"/>
      <c r="W11" s="5"/>
      <c r="X11" s="5"/>
      <c r="Y11" s="5"/>
      <c r="Z11" s="5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5"/>
      <c r="V12" s="5"/>
      <c r="W12" s="5"/>
      <c r="X12" s="5"/>
      <c r="Y12" s="5"/>
      <c r="Z12" s="5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5"/>
      <c r="V13" s="5"/>
      <c r="W13" s="5"/>
      <c r="X13" s="5"/>
      <c r="Y13" s="5"/>
      <c r="Z13" s="5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5"/>
      <c r="V14" s="5"/>
      <c r="W14" s="5"/>
      <c r="X14" s="5"/>
      <c r="Y14" s="5"/>
      <c r="Z14" s="5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5"/>
      <c r="V15" s="5"/>
      <c r="W15" s="5"/>
      <c r="X15" s="5"/>
      <c r="Y15" s="5"/>
      <c r="Z15" s="5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5"/>
      <c r="V16" s="5"/>
      <c r="W16" s="5"/>
      <c r="X16" s="5"/>
      <c r="Y16" s="5"/>
      <c r="Z16" s="5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5"/>
      <c r="V17" s="5"/>
      <c r="W17" s="5"/>
      <c r="X17" s="5"/>
      <c r="Y17" s="5"/>
      <c r="Z17" s="5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5"/>
      <c r="V18" s="5"/>
      <c r="W18" s="5"/>
      <c r="X18" s="5"/>
      <c r="Y18" s="5"/>
      <c r="Z18" s="5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5"/>
      <c r="V19" s="5"/>
      <c r="W19" s="5"/>
      <c r="X19" s="5"/>
      <c r="Y19" s="5"/>
      <c r="Z19" s="5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"/>
      <c r="V20" s="5"/>
      <c r="W20" s="5"/>
      <c r="X20" s="5"/>
      <c r="Y20" s="5"/>
      <c r="Z20" s="5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5"/>
      <c r="V21" s="5"/>
      <c r="W21" s="5"/>
      <c r="X21" s="5"/>
      <c r="Y21" s="5"/>
      <c r="Z21" s="5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5"/>
      <c r="V22" s="5"/>
      <c r="W22" s="5"/>
      <c r="X22" s="5"/>
      <c r="Y22" s="5"/>
      <c r="Z22" s="5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5"/>
      <c r="V23" s="5"/>
      <c r="W23" s="5"/>
      <c r="X23" s="5"/>
      <c r="Y23" s="5"/>
      <c r="Z23" s="5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5"/>
      <c r="V24" s="5"/>
      <c r="W24" s="5"/>
      <c r="X24" s="5"/>
      <c r="Y24" s="5"/>
      <c r="Z24" s="5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5"/>
      <c r="V25" s="5"/>
      <c r="W25" s="5"/>
      <c r="X25" s="5"/>
      <c r="Y25" s="5"/>
      <c r="Z25" s="5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5"/>
      <c r="V26" s="5"/>
      <c r="W26" s="5"/>
      <c r="X26" s="5"/>
      <c r="Y26" s="5"/>
      <c r="Z26" s="5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5"/>
      <c r="V27" s="5"/>
      <c r="W27" s="5"/>
      <c r="X27" s="5"/>
      <c r="Y27" s="5"/>
      <c r="Z27" s="5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5"/>
      <c r="V28" s="5"/>
      <c r="W28" s="5"/>
      <c r="X28" s="5"/>
      <c r="Y28" s="5"/>
      <c r="Z28" s="5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5"/>
      <c r="V29" s="5"/>
      <c r="W29" s="5"/>
      <c r="X29" s="5"/>
      <c r="Y29" s="5"/>
      <c r="Z29" s="5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5"/>
      <c r="V30" s="5"/>
      <c r="W30" s="5"/>
      <c r="X30" s="5"/>
      <c r="Y30" s="5"/>
      <c r="Z30" s="5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5"/>
      <c r="V31" s="5"/>
      <c r="W31" s="5"/>
      <c r="X31" s="5"/>
      <c r="Y31" s="5"/>
      <c r="Z31" s="5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5"/>
      <c r="V32" s="5"/>
      <c r="W32" s="5"/>
      <c r="X32" s="5"/>
      <c r="Y32" s="5"/>
      <c r="Z32" s="5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5"/>
      <c r="V33" s="5"/>
      <c r="W33" s="5"/>
      <c r="X33" s="5"/>
      <c r="Y33" s="5"/>
      <c r="Z33" s="5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"/>
      <c r="V34" s="5"/>
      <c r="W34" s="5"/>
      <c r="X34" s="5"/>
      <c r="Y34" s="5"/>
      <c r="Z34" s="5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5"/>
      <c r="V35" s="5"/>
      <c r="W35" s="5"/>
      <c r="X35" s="5"/>
      <c r="Y35" s="5"/>
      <c r="Z35" s="5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5"/>
      <c r="V36" s="5"/>
      <c r="W36" s="5"/>
      <c r="X36" s="5"/>
      <c r="Y36" s="5"/>
      <c r="Z36" s="5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5"/>
      <c r="V37" s="5"/>
      <c r="W37" s="5"/>
      <c r="X37" s="5"/>
      <c r="Y37" s="5"/>
      <c r="Z37" s="5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5"/>
      <c r="V38" s="5"/>
      <c r="W38" s="5"/>
      <c r="X38" s="5"/>
      <c r="Y38" s="5"/>
      <c r="Z38" s="5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5"/>
      <c r="V39" s="5"/>
      <c r="W39" s="5"/>
      <c r="X39" s="5"/>
      <c r="Y39" s="5"/>
      <c r="Z39" s="5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5"/>
      <c r="V40" s="5"/>
      <c r="W40" s="5"/>
      <c r="X40" s="5"/>
      <c r="Y40" s="5"/>
      <c r="Z40" s="5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5"/>
      <c r="V41" s="5"/>
      <c r="W41" s="5"/>
      <c r="X41" s="5"/>
      <c r="Y41" s="5"/>
      <c r="Z41" s="5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5"/>
      <c r="V42" s="5"/>
      <c r="W42" s="5"/>
      <c r="X42" s="5"/>
      <c r="Y42" s="5"/>
      <c r="Z42" s="5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5"/>
      <c r="V43" s="5"/>
      <c r="W43" s="5"/>
      <c r="X43" s="5"/>
      <c r="Y43" s="5"/>
      <c r="Z43" s="5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5"/>
      <c r="V44" s="5"/>
      <c r="W44" s="5"/>
      <c r="X44" s="5"/>
      <c r="Y44" s="5"/>
      <c r="Z44" s="5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5"/>
      <c r="V45" s="5"/>
      <c r="W45" s="5"/>
      <c r="X45" s="5"/>
      <c r="Y45" s="5"/>
      <c r="Z45" s="5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5"/>
      <c r="V46" s="5"/>
      <c r="W46" s="5"/>
      <c r="X46" s="5"/>
      <c r="Y46" s="5"/>
      <c r="Z46" s="5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5"/>
      <c r="V47" s="5"/>
      <c r="W47" s="5"/>
      <c r="X47" s="5"/>
      <c r="Y47" s="5"/>
      <c r="Z47" s="5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5"/>
      <c r="V48" s="5"/>
      <c r="W48" s="5"/>
      <c r="X48" s="5"/>
      <c r="Y48" s="5"/>
      <c r="Z48" s="5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5"/>
      <c r="V49" s="5"/>
      <c r="W49" s="5"/>
      <c r="X49" s="5"/>
      <c r="Y49" s="5"/>
      <c r="Z49" s="5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5"/>
      <c r="V50" s="5"/>
      <c r="W50" s="5"/>
      <c r="X50" s="5"/>
      <c r="Y50" s="5"/>
      <c r="Z50" s="5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5"/>
      <c r="V51" s="5"/>
      <c r="W51" s="5"/>
      <c r="X51" s="5"/>
      <c r="Y51" s="5"/>
      <c r="Z51" s="5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5"/>
      <c r="V52" s="5"/>
      <c r="W52" s="5"/>
      <c r="X52" s="5"/>
      <c r="Y52" s="5"/>
      <c r="Z52" s="5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5"/>
      <c r="V53" s="5"/>
      <c r="W53" s="5"/>
      <c r="X53" s="5"/>
      <c r="Y53" s="5"/>
      <c r="Z53" s="5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5"/>
      <c r="V54" s="5"/>
      <c r="W54" s="5"/>
      <c r="X54" s="5"/>
      <c r="Y54" s="5"/>
      <c r="Z54" s="5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5"/>
      <c r="V55" s="5"/>
      <c r="W55" s="5"/>
      <c r="X55" s="5"/>
      <c r="Y55" s="5"/>
      <c r="Z55" s="5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5"/>
      <c r="V56" s="5"/>
      <c r="W56" s="5"/>
      <c r="X56" s="5"/>
      <c r="Y56" s="5"/>
      <c r="Z56" s="5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5"/>
      <c r="V57" s="5"/>
      <c r="W57" s="5"/>
      <c r="X57" s="5"/>
      <c r="Y57" s="5"/>
      <c r="Z57" s="5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5"/>
      <c r="V58" s="5"/>
      <c r="W58" s="5"/>
      <c r="X58" s="5"/>
      <c r="Y58" s="5"/>
      <c r="Z58" s="5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5"/>
      <c r="V59" s="5"/>
      <c r="W59" s="5"/>
      <c r="X59" s="5"/>
      <c r="Y59" s="5"/>
      <c r="Z59" s="5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5"/>
      <c r="V60" s="5"/>
      <c r="W60" s="5"/>
      <c r="X60" s="5"/>
      <c r="Y60" s="5"/>
      <c r="Z60" s="5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5"/>
      <c r="V61" s="5"/>
      <c r="W61" s="5"/>
      <c r="X61" s="5"/>
      <c r="Y61" s="5"/>
      <c r="Z61" s="5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5"/>
      <c r="V62" s="5"/>
      <c r="W62" s="5"/>
      <c r="X62" s="5"/>
      <c r="Y62" s="5"/>
      <c r="Z62" s="5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5"/>
      <c r="V63" s="5"/>
      <c r="W63" s="5"/>
      <c r="X63" s="5"/>
      <c r="Y63" s="5"/>
      <c r="Z63" s="5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5"/>
      <c r="V64" s="5"/>
      <c r="W64" s="5"/>
      <c r="X64" s="5"/>
      <c r="Y64" s="5"/>
      <c r="Z64" s="5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5"/>
      <c r="V65" s="5"/>
      <c r="W65" s="5"/>
      <c r="X65" s="5"/>
      <c r="Y65" s="5"/>
      <c r="Z65" s="5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5"/>
      <c r="V66" s="5"/>
      <c r="W66" s="5"/>
      <c r="X66" s="5"/>
      <c r="Y66" s="5"/>
      <c r="Z66" s="5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5"/>
      <c r="V67" s="5"/>
      <c r="W67" s="5"/>
      <c r="X67" s="5"/>
      <c r="Y67" s="5"/>
      <c r="Z67" s="5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5"/>
      <c r="V68" s="5"/>
      <c r="W68" s="5"/>
      <c r="X68" s="5"/>
      <c r="Y68" s="5"/>
      <c r="Z68" s="5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5"/>
      <c r="V69" s="5"/>
      <c r="W69" s="5"/>
      <c r="X69" s="5"/>
      <c r="Y69" s="5"/>
      <c r="Z69" s="5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5"/>
      <c r="V70" s="5"/>
      <c r="W70" s="5"/>
      <c r="X70" s="5"/>
      <c r="Y70" s="5"/>
      <c r="Z70" s="5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5"/>
      <c r="V71" s="5"/>
      <c r="W71" s="5"/>
      <c r="X71" s="5"/>
      <c r="Y71" s="5"/>
      <c r="Z71" s="5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5"/>
      <c r="V72" s="5"/>
      <c r="W72" s="5"/>
      <c r="X72" s="5"/>
      <c r="Y72" s="5"/>
      <c r="Z72" s="5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5"/>
      <c r="V73" s="5"/>
      <c r="W73" s="5"/>
      <c r="X73" s="5"/>
      <c r="Y73" s="5"/>
      <c r="Z73" s="5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5"/>
      <c r="V74" s="5"/>
      <c r="W74" s="5"/>
      <c r="X74" s="5"/>
      <c r="Y74" s="5"/>
      <c r="Z74" s="5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5"/>
      <c r="V75" s="5"/>
      <c r="W75" s="5"/>
      <c r="X75" s="5"/>
      <c r="Y75" s="5"/>
      <c r="Z75" s="5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5"/>
      <c r="V76" s="5"/>
      <c r="W76" s="5"/>
      <c r="X76" s="5"/>
      <c r="Y76" s="5"/>
      <c r="Z76" s="5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5"/>
      <c r="V77" s="5"/>
      <c r="W77" s="5"/>
      <c r="X77" s="5"/>
      <c r="Y77" s="5"/>
      <c r="Z77" s="5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5"/>
      <c r="V78" s="5"/>
      <c r="W78" s="5"/>
      <c r="X78" s="5"/>
      <c r="Y78" s="5"/>
      <c r="Z78" s="5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5"/>
      <c r="V79" s="5"/>
      <c r="W79" s="5"/>
      <c r="X79" s="5"/>
      <c r="Y79" s="5"/>
      <c r="Z79" s="5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5"/>
      <c r="V80" s="5"/>
      <c r="W80" s="5"/>
      <c r="X80" s="5"/>
      <c r="Y80" s="5"/>
      <c r="Z80" s="5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5"/>
      <c r="V81" s="5"/>
      <c r="W81" s="5"/>
      <c r="X81" s="5"/>
      <c r="Y81" s="5"/>
      <c r="Z81" s="5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5"/>
      <c r="V82" s="5"/>
      <c r="W82" s="5"/>
      <c r="X82" s="5"/>
      <c r="Y82" s="5"/>
      <c r="Z82" s="5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5"/>
      <c r="V83" s="5"/>
      <c r="W83" s="5"/>
      <c r="X83" s="5"/>
      <c r="Y83" s="5"/>
      <c r="Z83" s="5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5"/>
      <c r="V84" s="5"/>
      <c r="W84" s="5"/>
      <c r="X84" s="5"/>
      <c r="Y84" s="5"/>
      <c r="Z84" s="5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5"/>
      <c r="V85" s="5"/>
      <c r="W85" s="5"/>
      <c r="X85" s="5"/>
      <c r="Y85" s="5"/>
      <c r="Z85" s="5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5"/>
      <c r="V86" s="5"/>
      <c r="W86" s="5"/>
      <c r="X86" s="5"/>
      <c r="Y86" s="5"/>
      <c r="Z86" s="5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5"/>
      <c r="V87" s="5"/>
      <c r="W87" s="5"/>
      <c r="X87" s="5"/>
      <c r="Y87" s="5"/>
      <c r="Z87" s="5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5"/>
      <c r="V88" s="5"/>
      <c r="W88" s="5"/>
      <c r="X88" s="5"/>
      <c r="Y88" s="5"/>
      <c r="Z88" s="5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5"/>
      <c r="V89" s="5"/>
      <c r="W89" s="5"/>
      <c r="X89" s="5"/>
      <c r="Y89" s="5"/>
      <c r="Z89" s="5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5"/>
      <c r="V90" s="5"/>
      <c r="W90" s="5"/>
      <c r="X90" s="5"/>
      <c r="Y90" s="5"/>
      <c r="Z90" s="5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5"/>
      <c r="V91" s="5"/>
      <c r="W91" s="5"/>
      <c r="X91" s="5"/>
      <c r="Y91" s="5"/>
      <c r="Z91" s="5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5"/>
      <c r="V92" s="5"/>
      <c r="W92" s="5"/>
      <c r="X92" s="5"/>
      <c r="Y92" s="5"/>
      <c r="Z92" s="5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5"/>
      <c r="V93" s="5"/>
      <c r="W93" s="5"/>
      <c r="X93" s="5"/>
      <c r="Y93" s="5"/>
      <c r="Z93" s="5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5"/>
      <c r="V94" s="5"/>
      <c r="W94" s="5"/>
      <c r="X94" s="5"/>
      <c r="Y94" s="5"/>
      <c r="Z94" s="5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5"/>
      <c r="V95" s="5"/>
      <c r="W95" s="5"/>
      <c r="X95" s="5"/>
      <c r="Y95" s="5"/>
      <c r="Z95" s="5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5"/>
      <c r="V96" s="5"/>
      <c r="W96" s="5"/>
      <c r="X96" s="5"/>
      <c r="Y96" s="5"/>
      <c r="Z96" s="5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5"/>
      <c r="V97" s="5"/>
      <c r="W97" s="5"/>
      <c r="X97" s="5"/>
      <c r="Y97" s="5"/>
      <c r="Z97" s="5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5"/>
      <c r="V98" s="5"/>
      <c r="W98" s="5"/>
      <c r="X98" s="5"/>
      <c r="Y98" s="5"/>
      <c r="Z98" s="5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5"/>
      <c r="V99" s="5"/>
      <c r="W99" s="5"/>
      <c r="X99" s="5"/>
      <c r="Y99" s="5"/>
      <c r="Z99" s="5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5"/>
      <c r="V100" s="5"/>
      <c r="W100" s="5"/>
      <c r="X100" s="5"/>
      <c r="Y100" s="5"/>
      <c r="Z100" s="5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5"/>
      <c r="V101" s="5"/>
      <c r="W101" s="5"/>
      <c r="X101" s="5"/>
      <c r="Y101" s="5"/>
      <c r="Z101" s="5"/>
    </row>
  </sheetData>
  <conditionalFormatting sqref="L2:L101">
    <cfRule type="expression" dxfId="5" priority="1">
      <formula>OR($L2="Critical",$L2="High")</formula>
    </cfRule>
  </conditionalFormatting>
  <conditionalFormatting sqref="M2:M101">
    <cfRule type="expression" dxfId="4" priority="2">
      <formula>OR($M2="Very High",$M2="High")</formula>
    </cfRule>
  </conditionalFormatting>
  <conditionalFormatting sqref="R2:R101">
    <cfRule type="expression" dxfId="3" priority="3">
      <formula>OR($R2="Blocked",$R2="Unknown",$R2="Not Started")</formula>
    </cfRule>
  </conditionalFormatting>
  <dataValidations count="5">
    <dataValidation type="list" sqref="H2:H101" xr:uid="{00000000-0002-0000-0200-000000000000}">
      <formula1>"Real-time,Hourly,Daily,Weekly,Monthly,Quarterly,Ad hoc,Unknown"</formula1>
    </dataValidation>
    <dataValidation type="list" sqref="L2:L101" xr:uid="{00000000-0002-0000-0200-000001000000}">
      <formula1>"Critical,High,Medium,Low,Unknown"</formula1>
    </dataValidation>
    <dataValidation type="list" sqref="M2:M101" xr:uid="{00000000-0002-0000-0200-000002000000}">
      <formula1>"Very High,High,Medium,Low,Unknown"</formula1>
    </dataValidation>
    <dataValidation type="list" sqref="R2:R101" xr:uid="{00000000-0002-0000-0200-000003000000}">
      <formula1>"Not Started,In Progress,Drafted,Reviewed,Confirmed,Blocked,Unknown"</formula1>
    </dataValidation>
    <dataValidation type="list" sqref="S2:S101" xr:uid="{00000000-0002-0000-0200-000004000000}">
      <formula1>"High,Medium,Low,Unknown"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"/>
  <sheetViews>
    <sheetView workbookViewId="0"/>
  </sheetViews>
  <sheetFormatPr defaultRowHeight="14.25"/>
  <cols>
    <col min="1" max="1" width="14.625" customWidth="1"/>
    <col min="2" max="2" width="14.375" customWidth="1"/>
    <col min="3" max="3" width="18.75" customWidth="1"/>
    <col min="4" max="4" width="24" customWidth="1"/>
    <col min="5" max="5" width="20.125" customWidth="1"/>
    <col min="6" max="6" width="12.125" customWidth="1"/>
    <col min="7" max="9" width="24" customWidth="1"/>
    <col min="10" max="10" width="11" customWidth="1"/>
    <col min="11" max="11" width="10.25" customWidth="1"/>
    <col min="12" max="12" width="17.375" customWidth="1"/>
    <col min="13" max="13" width="8.25" customWidth="1"/>
    <col min="14" max="14" width="18" customWidth="1"/>
    <col min="15" max="15" width="24" customWidth="1"/>
    <col min="16" max="16" width="15.5" customWidth="1"/>
    <col min="17" max="17" width="19.375" customWidth="1"/>
    <col min="18" max="18" width="24" customWidth="1"/>
  </cols>
  <sheetData>
    <row r="1" spans="1:26" ht="36" customHeight="1">
      <c r="A1" s="3" t="s">
        <v>151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  <c r="G1" s="3" t="s">
        <v>157</v>
      </c>
      <c r="H1" s="3" t="s">
        <v>158</v>
      </c>
      <c r="I1" s="3" t="s">
        <v>159</v>
      </c>
      <c r="J1" s="3" t="s">
        <v>120</v>
      </c>
      <c r="K1" s="3" t="s">
        <v>61</v>
      </c>
      <c r="L1" s="3" t="s">
        <v>160</v>
      </c>
      <c r="M1" s="3" t="s">
        <v>20</v>
      </c>
      <c r="N1" s="3" t="s">
        <v>161</v>
      </c>
      <c r="O1" s="3" t="s">
        <v>162</v>
      </c>
      <c r="P1" s="3" t="s">
        <v>70</v>
      </c>
      <c r="Q1" s="3" t="s">
        <v>71</v>
      </c>
      <c r="R1" s="3" t="s">
        <v>127</v>
      </c>
      <c r="S1" s="5"/>
      <c r="T1" s="5"/>
      <c r="U1" s="5"/>
      <c r="V1" s="5"/>
      <c r="W1" s="5"/>
      <c r="X1" s="5"/>
      <c r="Y1" s="5"/>
      <c r="Z1" s="5"/>
    </row>
    <row r="2" spans="1:26" ht="28.5">
      <c r="A2" s="2" t="s">
        <v>163</v>
      </c>
      <c r="B2" s="2" t="s">
        <v>75</v>
      </c>
      <c r="C2" s="2" t="s">
        <v>128</v>
      </c>
      <c r="D2" s="2" t="s">
        <v>164</v>
      </c>
      <c r="E2" s="2" t="s">
        <v>165</v>
      </c>
      <c r="F2" s="2" t="s">
        <v>166</v>
      </c>
      <c r="G2" s="2" t="s">
        <v>130</v>
      </c>
      <c r="H2" s="2" t="s">
        <v>131</v>
      </c>
      <c r="I2" s="2" t="s">
        <v>167</v>
      </c>
      <c r="J2" s="2" t="s">
        <v>99</v>
      </c>
      <c r="K2" s="2" t="s">
        <v>79</v>
      </c>
      <c r="L2" s="2" t="s">
        <v>168</v>
      </c>
      <c r="M2" s="2" t="s">
        <v>78</v>
      </c>
      <c r="N2" s="2" t="s">
        <v>85</v>
      </c>
      <c r="O2" s="2" t="s">
        <v>169</v>
      </c>
      <c r="P2" s="2" t="s">
        <v>88</v>
      </c>
      <c r="Q2" s="2" t="s">
        <v>89</v>
      </c>
      <c r="R2" s="2" t="s">
        <v>135</v>
      </c>
      <c r="S2" s="5"/>
      <c r="T2" s="5"/>
      <c r="U2" s="5"/>
      <c r="V2" s="5"/>
      <c r="W2" s="5"/>
      <c r="X2" s="5"/>
      <c r="Y2" s="5"/>
      <c r="Z2" s="5"/>
    </row>
    <row r="3" spans="1:26" ht="28.5">
      <c r="A3" s="2" t="s">
        <v>170</v>
      </c>
      <c r="B3" s="2" t="s">
        <v>91</v>
      </c>
      <c r="C3" s="2" t="s">
        <v>136</v>
      </c>
      <c r="D3" s="2" t="s">
        <v>171</v>
      </c>
      <c r="E3" s="2" t="s">
        <v>172</v>
      </c>
      <c r="F3" s="2" t="s">
        <v>173</v>
      </c>
      <c r="G3" s="2" t="s">
        <v>95</v>
      </c>
      <c r="H3" s="2" t="s">
        <v>174</v>
      </c>
      <c r="I3" s="2" t="s">
        <v>139</v>
      </c>
      <c r="J3" s="2" t="s">
        <v>99</v>
      </c>
      <c r="K3" s="2" t="s">
        <v>94</v>
      </c>
      <c r="L3" s="2" t="s">
        <v>168</v>
      </c>
      <c r="M3" s="2" t="s">
        <v>78</v>
      </c>
      <c r="N3" s="2" t="s">
        <v>85</v>
      </c>
      <c r="O3" s="2" t="s">
        <v>175</v>
      </c>
      <c r="P3" s="2" t="s">
        <v>88</v>
      </c>
      <c r="Q3" s="2" t="s">
        <v>100</v>
      </c>
      <c r="R3" s="2" t="s">
        <v>135</v>
      </c>
      <c r="S3" s="5"/>
      <c r="T3" s="5"/>
      <c r="U3" s="5"/>
      <c r="V3" s="5"/>
      <c r="W3" s="5"/>
      <c r="X3" s="5"/>
      <c r="Y3" s="5"/>
      <c r="Z3" s="5"/>
    </row>
    <row r="4" spans="1:26" ht="28.5">
      <c r="A4" s="2" t="s">
        <v>176</v>
      </c>
      <c r="B4" s="2" t="s">
        <v>102</v>
      </c>
      <c r="C4" s="2" t="s">
        <v>145</v>
      </c>
      <c r="D4" s="2" t="s">
        <v>177</v>
      </c>
      <c r="E4" s="2" t="s">
        <v>178</v>
      </c>
      <c r="F4" s="2" t="s">
        <v>109</v>
      </c>
      <c r="G4" s="2" t="s">
        <v>105</v>
      </c>
      <c r="H4" s="2" t="s">
        <v>179</v>
      </c>
      <c r="I4" s="2" t="s">
        <v>167</v>
      </c>
      <c r="J4" s="2" t="s">
        <v>111</v>
      </c>
      <c r="K4" s="2" t="s">
        <v>89</v>
      </c>
      <c r="L4" s="2" t="s">
        <v>180</v>
      </c>
      <c r="M4" s="2" t="s">
        <v>78</v>
      </c>
      <c r="N4" s="2" t="s">
        <v>110</v>
      </c>
      <c r="O4" s="2" t="s">
        <v>181</v>
      </c>
      <c r="P4" s="2" t="s">
        <v>112</v>
      </c>
      <c r="Q4" s="2" t="s">
        <v>89</v>
      </c>
      <c r="R4" s="2" t="s">
        <v>135</v>
      </c>
      <c r="S4" s="5"/>
      <c r="T4" s="5"/>
      <c r="U4" s="5"/>
      <c r="V4" s="5"/>
      <c r="W4" s="5"/>
      <c r="X4" s="5"/>
      <c r="Y4" s="5"/>
      <c r="Z4" s="5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5"/>
      <c r="Z5" s="5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5"/>
      <c r="T6" s="5"/>
      <c r="U6" s="5"/>
      <c r="V6" s="5"/>
      <c r="W6" s="5"/>
      <c r="X6" s="5"/>
      <c r="Y6" s="5"/>
      <c r="Z6" s="5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5"/>
      <c r="T7" s="5"/>
      <c r="U7" s="5"/>
      <c r="V7" s="5"/>
      <c r="W7" s="5"/>
      <c r="X7" s="5"/>
      <c r="Y7" s="5"/>
      <c r="Z7" s="5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5"/>
      <c r="T8" s="5"/>
      <c r="U8" s="5"/>
      <c r="V8" s="5"/>
      <c r="W8" s="5"/>
      <c r="X8" s="5"/>
      <c r="Y8" s="5"/>
      <c r="Z8" s="5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5"/>
      <c r="T9" s="5"/>
      <c r="U9" s="5"/>
      <c r="V9" s="5"/>
      <c r="W9" s="5"/>
      <c r="X9" s="5"/>
      <c r="Y9" s="5"/>
      <c r="Z9" s="5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5"/>
      <c r="T10" s="5"/>
      <c r="U10" s="5"/>
      <c r="V10" s="5"/>
      <c r="W10" s="5"/>
      <c r="X10" s="5"/>
      <c r="Y10" s="5"/>
      <c r="Z10" s="5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5"/>
      <c r="T11" s="5"/>
      <c r="U11" s="5"/>
      <c r="V11" s="5"/>
      <c r="W11" s="5"/>
      <c r="X11" s="5"/>
      <c r="Y11" s="5"/>
      <c r="Z11" s="5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5"/>
      <c r="T12" s="5"/>
      <c r="U12" s="5"/>
      <c r="V12" s="5"/>
      <c r="W12" s="5"/>
      <c r="X12" s="5"/>
      <c r="Y12" s="5"/>
      <c r="Z12" s="5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5"/>
      <c r="T13" s="5"/>
      <c r="U13" s="5"/>
      <c r="V13" s="5"/>
      <c r="W13" s="5"/>
      <c r="X13" s="5"/>
      <c r="Y13" s="5"/>
      <c r="Z13" s="5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5"/>
      <c r="T14" s="5"/>
      <c r="U14" s="5"/>
      <c r="V14" s="5"/>
      <c r="W14" s="5"/>
      <c r="X14" s="5"/>
      <c r="Y14" s="5"/>
      <c r="Z14" s="5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5"/>
      <c r="T15" s="5"/>
      <c r="U15" s="5"/>
      <c r="V15" s="5"/>
      <c r="W15" s="5"/>
      <c r="X15" s="5"/>
      <c r="Y15" s="5"/>
      <c r="Z15" s="5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5"/>
      <c r="T16" s="5"/>
      <c r="U16" s="5"/>
      <c r="V16" s="5"/>
      <c r="W16" s="5"/>
      <c r="X16" s="5"/>
      <c r="Y16" s="5"/>
      <c r="Z16" s="5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5"/>
      <c r="T17" s="5"/>
      <c r="U17" s="5"/>
      <c r="V17" s="5"/>
      <c r="W17" s="5"/>
      <c r="X17" s="5"/>
      <c r="Y17" s="5"/>
      <c r="Z17" s="5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5"/>
      <c r="T18" s="5"/>
      <c r="U18" s="5"/>
      <c r="V18" s="5"/>
      <c r="W18" s="5"/>
      <c r="X18" s="5"/>
      <c r="Y18" s="5"/>
      <c r="Z18" s="5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5"/>
      <c r="T19" s="5"/>
      <c r="U19" s="5"/>
      <c r="V19" s="5"/>
      <c r="W19" s="5"/>
      <c r="X19" s="5"/>
      <c r="Y19" s="5"/>
      <c r="Z19" s="5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5"/>
      <c r="T20" s="5"/>
      <c r="U20" s="5"/>
      <c r="V20" s="5"/>
      <c r="W20" s="5"/>
      <c r="X20" s="5"/>
      <c r="Y20" s="5"/>
      <c r="Z20" s="5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5"/>
      <c r="T21" s="5"/>
      <c r="U21" s="5"/>
      <c r="V21" s="5"/>
      <c r="W21" s="5"/>
      <c r="X21" s="5"/>
      <c r="Y21" s="5"/>
      <c r="Z21" s="5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5"/>
      <c r="T22" s="5"/>
      <c r="U22" s="5"/>
      <c r="V22" s="5"/>
      <c r="W22" s="5"/>
      <c r="X22" s="5"/>
      <c r="Y22" s="5"/>
      <c r="Z22" s="5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5"/>
      <c r="T23" s="5"/>
      <c r="U23" s="5"/>
      <c r="V23" s="5"/>
      <c r="W23" s="5"/>
      <c r="X23" s="5"/>
      <c r="Y23" s="5"/>
      <c r="Z23" s="5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"/>
      <c r="T24" s="5"/>
      <c r="U24" s="5"/>
      <c r="V24" s="5"/>
      <c r="W24" s="5"/>
      <c r="X24" s="5"/>
      <c r="Y24" s="5"/>
      <c r="Z24" s="5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/>
      <c r="T25" s="5"/>
      <c r="U25" s="5"/>
      <c r="V25" s="5"/>
      <c r="W25" s="5"/>
      <c r="X25" s="5"/>
      <c r="Y25" s="5"/>
      <c r="Z25" s="5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5"/>
      <c r="U26" s="5"/>
      <c r="V26" s="5"/>
      <c r="W26" s="5"/>
      <c r="X26" s="5"/>
      <c r="Y26" s="5"/>
      <c r="Z26" s="5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5"/>
      <c r="T27" s="5"/>
      <c r="U27" s="5"/>
      <c r="V27" s="5"/>
      <c r="W27" s="5"/>
      <c r="X27" s="5"/>
      <c r="Y27" s="5"/>
      <c r="Z27" s="5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/>
      <c r="T28" s="5"/>
      <c r="U28" s="5"/>
      <c r="V28" s="5"/>
      <c r="W28" s="5"/>
      <c r="X28" s="5"/>
      <c r="Y28" s="5"/>
      <c r="Z28" s="5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5"/>
      <c r="T29" s="5"/>
      <c r="U29" s="5"/>
      <c r="V29" s="5"/>
      <c r="W29" s="5"/>
      <c r="X29" s="5"/>
      <c r="Y29" s="5"/>
      <c r="Z29" s="5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5"/>
      <c r="T30" s="5"/>
      <c r="U30" s="5"/>
      <c r="V30" s="5"/>
      <c r="W30" s="5"/>
      <c r="X30" s="5"/>
      <c r="Y30" s="5"/>
      <c r="Z30" s="5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5"/>
      <c r="T31" s="5"/>
      <c r="U31" s="5"/>
      <c r="V31" s="5"/>
      <c r="W31" s="5"/>
      <c r="X31" s="5"/>
      <c r="Y31" s="5"/>
      <c r="Z31" s="5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/>
      <c r="T32" s="5"/>
      <c r="U32" s="5"/>
      <c r="V32" s="5"/>
      <c r="W32" s="5"/>
      <c r="X32" s="5"/>
      <c r="Y32" s="5"/>
      <c r="Z32" s="5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/>
      <c r="T33" s="5"/>
      <c r="U33" s="5"/>
      <c r="V33" s="5"/>
      <c r="W33" s="5"/>
      <c r="X33" s="5"/>
      <c r="Y33" s="5"/>
      <c r="Z33" s="5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"/>
      <c r="T34" s="5"/>
      <c r="U34" s="5"/>
      <c r="V34" s="5"/>
      <c r="W34" s="5"/>
      <c r="X34" s="5"/>
      <c r="Y34" s="5"/>
      <c r="Z34" s="5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5"/>
      <c r="U35" s="5"/>
      <c r="V35" s="5"/>
      <c r="W35" s="5"/>
      <c r="X35" s="5"/>
      <c r="Y35" s="5"/>
      <c r="Z35" s="5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5"/>
      <c r="U36" s="5"/>
      <c r="V36" s="5"/>
      <c r="W36" s="5"/>
      <c r="X36" s="5"/>
      <c r="Y36" s="5"/>
      <c r="Z36" s="5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5"/>
      <c r="T37" s="5"/>
      <c r="U37" s="5"/>
      <c r="V37" s="5"/>
      <c r="W37" s="5"/>
      <c r="X37" s="5"/>
      <c r="Y37" s="5"/>
      <c r="Z37" s="5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5"/>
      <c r="T38" s="5"/>
      <c r="U38" s="5"/>
      <c r="V38" s="5"/>
      <c r="W38" s="5"/>
      <c r="X38" s="5"/>
      <c r="Y38" s="5"/>
      <c r="Z38" s="5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5"/>
      <c r="T39" s="5"/>
      <c r="U39" s="5"/>
      <c r="V39" s="5"/>
      <c r="W39" s="5"/>
      <c r="X39" s="5"/>
      <c r="Y39" s="5"/>
      <c r="Z39" s="5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5"/>
      <c r="T40" s="5"/>
      <c r="U40" s="5"/>
      <c r="V40" s="5"/>
      <c r="W40" s="5"/>
      <c r="X40" s="5"/>
      <c r="Y40" s="5"/>
      <c r="Z40" s="5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5"/>
      <c r="T41" s="5"/>
      <c r="U41" s="5"/>
      <c r="V41" s="5"/>
      <c r="W41" s="5"/>
      <c r="X41" s="5"/>
      <c r="Y41" s="5"/>
      <c r="Z41" s="5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5"/>
      <c r="T42" s="5"/>
      <c r="U42" s="5"/>
      <c r="V42" s="5"/>
      <c r="W42" s="5"/>
      <c r="X42" s="5"/>
      <c r="Y42" s="5"/>
      <c r="Z42" s="5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5"/>
      <c r="T43" s="5"/>
      <c r="U43" s="5"/>
      <c r="V43" s="5"/>
      <c r="W43" s="5"/>
      <c r="X43" s="5"/>
      <c r="Y43" s="5"/>
      <c r="Z43" s="5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5"/>
      <c r="T44" s="5"/>
      <c r="U44" s="5"/>
      <c r="V44" s="5"/>
      <c r="W44" s="5"/>
      <c r="X44" s="5"/>
      <c r="Y44" s="5"/>
      <c r="Z44" s="5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5"/>
      <c r="T45" s="5"/>
      <c r="U45" s="5"/>
      <c r="V45" s="5"/>
      <c r="W45" s="5"/>
      <c r="X45" s="5"/>
      <c r="Y45" s="5"/>
      <c r="Z45" s="5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5"/>
      <c r="T46" s="5"/>
      <c r="U46" s="5"/>
      <c r="V46" s="5"/>
      <c r="W46" s="5"/>
      <c r="X46" s="5"/>
      <c r="Y46" s="5"/>
      <c r="Z46" s="5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5"/>
      <c r="T47" s="5"/>
      <c r="U47" s="5"/>
      <c r="V47" s="5"/>
      <c r="W47" s="5"/>
      <c r="X47" s="5"/>
      <c r="Y47" s="5"/>
      <c r="Z47" s="5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5"/>
      <c r="T48" s="5"/>
      <c r="U48" s="5"/>
      <c r="V48" s="5"/>
      <c r="W48" s="5"/>
      <c r="X48" s="5"/>
      <c r="Y48" s="5"/>
      <c r="Z48" s="5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5"/>
      <c r="T49" s="5"/>
      <c r="U49" s="5"/>
      <c r="V49" s="5"/>
      <c r="W49" s="5"/>
      <c r="X49" s="5"/>
      <c r="Y49" s="5"/>
      <c r="Z49" s="5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5"/>
      <c r="T50" s="5"/>
      <c r="U50" s="5"/>
      <c r="V50" s="5"/>
      <c r="W50" s="5"/>
      <c r="X50" s="5"/>
      <c r="Y50" s="5"/>
      <c r="Z50" s="5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5"/>
      <c r="T51" s="5"/>
      <c r="U51" s="5"/>
      <c r="V51" s="5"/>
      <c r="W51" s="5"/>
      <c r="X51" s="5"/>
      <c r="Y51" s="5"/>
      <c r="Z51" s="5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5"/>
      <c r="T52" s="5"/>
      <c r="U52" s="5"/>
      <c r="V52" s="5"/>
      <c r="W52" s="5"/>
      <c r="X52" s="5"/>
      <c r="Y52" s="5"/>
      <c r="Z52" s="5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5"/>
      <c r="T53" s="5"/>
      <c r="U53" s="5"/>
      <c r="V53" s="5"/>
      <c r="W53" s="5"/>
      <c r="X53" s="5"/>
      <c r="Y53" s="5"/>
      <c r="Z53" s="5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5"/>
      <c r="T54" s="5"/>
      <c r="U54" s="5"/>
      <c r="V54" s="5"/>
      <c r="W54" s="5"/>
      <c r="X54" s="5"/>
      <c r="Y54" s="5"/>
      <c r="Z54" s="5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5"/>
      <c r="T55" s="5"/>
      <c r="U55" s="5"/>
      <c r="V55" s="5"/>
      <c r="W55" s="5"/>
      <c r="X55" s="5"/>
      <c r="Y55" s="5"/>
      <c r="Z55" s="5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5"/>
      <c r="T56" s="5"/>
      <c r="U56" s="5"/>
      <c r="V56" s="5"/>
      <c r="W56" s="5"/>
      <c r="X56" s="5"/>
      <c r="Y56" s="5"/>
      <c r="Z56" s="5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5"/>
      <c r="T57" s="5"/>
      <c r="U57" s="5"/>
      <c r="V57" s="5"/>
      <c r="W57" s="5"/>
      <c r="X57" s="5"/>
      <c r="Y57" s="5"/>
      <c r="Z57" s="5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5"/>
      <c r="T58" s="5"/>
      <c r="U58" s="5"/>
      <c r="V58" s="5"/>
      <c r="W58" s="5"/>
      <c r="X58" s="5"/>
      <c r="Y58" s="5"/>
      <c r="Z58" s="5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5"/>
      <c r="T59" s="5"/>
      <c r="U59" s="5"/>
      <c r="V59" s="5"/>
      <c r="W59" s="5"/>
      <c r="X59" s="5"/>
      <c r="Y59" s="5"/>
      <c r="Z59" s="5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5"/>
      <c r="T60" s="5"/>
      <c r="U60" s="5"/>
      <c r="V60" s="5"/>
      <c r="W60" s="5"/>
      <c r="X60" s="5"/>
      <c r="Y60" s="5"/>
      <c r="Z60" s="5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5"/>
      <c r="T61" s="5"/>
      <c r="U61" s="5"/>
      <c r="V61" s="5"/>
      <c r="W61" s="5"/>
      <c r="X61" s="5"/>
      <c r="Y61" s="5"/>
      <c r="Z61" s="5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5"/>
      <c r="T62" s="5"/>
      <c r="U62" s="5"/>
      <c r="V62" s="5"/>
      <c r="W62" s="5"/>
      <c r="X62" s="5"/>
      <c r="Y62" s="5"/>
      <c r="Z62" s="5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5"/>
      <c r="T63" s="5"/>
      <c r="U63" s="5"/>
      <c r="V63" s="5"/>
      <c r="W63" s="5"/>
      <c r="X63" s="5"/>
      <c r="Y63" s="5"/>
      <c r="Z63" s="5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5"/>
      <c r="T64" s="5"/>
      <c r="U64" s="5"/>
      <c r="V64" s="5"/>
      <c r="W64" s="5"/>
      <c r="X64" s="5"/>
      <c r="Y64" s="5"/>
      <c r="Z64" s="5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5"/>
      <c r="T65" s="5"/>
      <c r="U65" s="5"/>
      <c r="V65" s="5"/>
      <c r="W65" s="5"/>
      <c r="X65" s="5"/>
      <c r="Y65" s="5"/>
      <c r="Z65" s="5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5"/>
      <c r="T66" s="5"/>
      <c r="U66" s="5"/>
      <c r="V66" s="5"/>
      <c r="W66" s="5"/>
      <c r="X66" s="5"/>
      <c r="Y66" s="5"/>
      <c r="Z66" s="5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5"/>
      <c r="T67" s="5"/>
      <c r="U67" s="5"/>
      <c r="V67" s="5"/>
      <c r="W67" s="5"/>
      <c r="X67" s="5"/>
      <c r="Y67" s="5"/>
      <c r="Z67" s="5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5"/>
      <c r="T68" s="5"/>
      <c r="U68" s="5"/>
      <c r="V68" s="5"/>
      <c r="W68" s="5"/>
      <c r="X68" s="5"/>
      <c r="Y68" s="5"/>
      <c r="Z68" s="5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5"/>
      <c r="T69" s="5"/>
      <c r="U69" s="5"/>
      <c r="V69" s="5"/>
      <c r="W69" s="5"/>
      <c r="X69" s="5"/>
      <c r="Y69" s="5"/>
      <c r="Z69" s="5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5"/>
      <c r="T70" s="5"/>
      <c r="U70" s="5"/>
      <c r="V70" s="5"/>
      <c r="W70" s="5"/>
      <c r="X70" s="5"/>
      <c r="Y70" s="5"/>
      <c r="Z70" s="5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5"/>
      <c r="T71" s="5"/>
      <c r="U71" s="5"/>
      <c r="V71" s="5"/>
      <c r="W71" s="5"/>
      <c r="X71" s="5"/>
      <c r="Y71" s="5"/>
      <c r="Z71" s="5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5"/>
      <c r="T72" s="5"/>
      <c r="U72" s="5"/>
      <c r="V72" s="5"/>
      <c r="W72" s="5"/>
      <c r="X72" s="5"/>
      <c r="Y72" s="5"/>
      <c r="Z72" s="5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5"/>
      <c r="T73" s="5"/>
      <c r="U73" s="5"/>
      <c r="V73" s="5"/>
      <c r="W73" s="5"/>
      <c r="X73" s="5"/>
      <c r="Y73" s="5"/>
      <c r="Z73" s="5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5"/>
      <c r="T74" s="5"/>
      <c r="U74" s="5"/>
      <c r="V74" s="5"/>
      <c r="W74" s="5"/>
      <c r="X74" s="5"/>
      <c r="Y74" s="5"/>
      <c r="Z74" s="5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5"/>
      <c r="T75" s="5"/>
      <c r="U75" s="5"/>
      <c r="V75" s="5"/>
      <c r="W75" s="5"/>
      <c r="X75" s="5"/>
      <c r="Y75" s="5"/>
      <c r="Z75" s="5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5"/>
      <c r="T76" s="5"/>
      <c r="U76" s="5"/>
      <c r="V76" s="5"/>
      <c r="W76" s="5"/>
      <c r="X76" s="5"/>
      <c r="Y76" s="5"/>
      <c r="Z76" s="5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5"/>
      <c r="T77" s="5"/>
      <c r="U77" s="5"/>
      <c r="V77" s="5"/>
      <c r="W77" s="5"/>
      <c r="X77" s="5"/>
      <c r="Y77" s="5"/>
      <c r="Z77" s="5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5"/>
      <c r="T78" s="5"/>
      <c r="U78" s="5"/>
      <c r="V78" s="5"/>
      <c r="W78" s="5"/>
      <c r="X78" s="5"/>
      <c r="Y78" s="5"/>
      <c r="Z78" s="5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5"/>
      <c r="T79" s="5"/>
      <c r="U79" s="5"/>
      <c r="V79" s="5"/>
      <c r="W79" s="5"/>
      <c r="X79" s="5"/>
      <c r="Y79" s="5"/>
      <c r="Z79" s="5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5"/>
      <c r="T80" s="5"/>
      <c r="U80" s="5"/>
      <c r="V80" s="5"/>
      <c r="W80" s="5"/>
      <c r="X80" s="5"/>
      <c r="Y80" s="5"/>
      <c r="Z80" s="5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5"/>
      <c r="T81" s="5"/>
      <c r="U81" s="5"/>
      <c r="V81" s="5"/>
      <c r="W81" s="5"/>
      <c r="X81" s="5"/>
      <c r="Y81" s="5"/>
      <c r="Z81" s="5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5"/>
      <c r="T82" s="5"/>
      <c r="U82" s="5"/>
      <c r="V82" s="5"/>
      <c r="W82" s="5"/>
      <c r="X82" s="5"/>
      <c r="Y82" s="5"/>
      <c r="Z82" s="5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5"/>
      <c r="T83" s="5"/>
      <c r="U83" s="5"/>
      <c r="V83" s="5"/>
      <c r="W83" s="5"/>
      <c r="X83" s="5"/>
      <c r="Y83" s="5"/>
      <c r="Z83" s="5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5"/>
      <c r="T84" s="5"/>
      <c r="U84" s="5"/>
      <c r="V84" s="5"/>
      <c r="W84" s="5"/>
      <c r="X84" s="5"/>
      <c r="Y84" s="5"/>
      <c r="Z84" s="5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5"/>
      <c r="T85" s="5"/>
      <c r="U85" s="5"/>
      <c r="V85" s="5"/>
      <c r="W85" s="5"/>
      <c r="X85" s="5"/>
      <c r="Y85" s="5"/>
      <c r="Z85" s="5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5"/>
      <c r="T86" s="5"/>
      <c r="U86" s="5"/>
      <c r="V86" s="5"/>
      <c r="W86" s="5"/>
      <c r="X86" s="5"/>
      <c r="Y86" s="5"/>
      <c r="Z86" s="5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5"/>
      <c r="T87" s="5"/>
      <c r="U87" s="5"/>
      <c r="V87" s="5"/>
      <c r="W87" s="5"/>
      <c r="X87" s="5"/>
      <c r="Y87" s="5"/>
      <c r="Z87" s="5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5"/>
      <c r="T88" s="5"/>
      <c r="U88" s="5"/>
      <c r="V88" s="5"/>
      <c r="W88" s="5"/>
      <c r="X88" s="5"/>
      <c r="Y88" s="5"/>
      <c r="Z88" s="5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5"/>
      <c r="T89" s="5"/>
      <c r="U89" s="5"/>
      <c r="V89" s="5"/>
      <c r="W89" s="5"/>
      <c r="X89" s="5"/>
      <c r="Y89" s="5"/>
      <c r="Z89" s="5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5"/>
      <c r="T90" s="5"/>
      <c r="U90" s="5"/>
      <c r="V90" s="5"/>
      <c r="W90" s="5"/>
      <c r="X90" s="5"/>
      <c r="Y90" s="5"/>
      <c r="Z90" s="5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5"/>
      <c r="T91" s="5"/>
      <c r="U91" s="5"/>
      <c r="V91" s="5"/>
      <c r="W91" s="5"/>
      <c r="X91" s="5"/>
      <c r="Y91" s="5"/>
      <c r="Z91" s="5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5"/>
      <c r="T92" s="5"/>
      <c r="U92" s="5"/>
      <c r="V92" s="5"/>
      <c r="W92" s="5"/>
      <c r="X92" s="5"/>
      <c r="Y92" s="5"/>
      <c r="Z92" s="5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5"/>
      <c r="T93" s="5"/>
      <c r="U93" s="5"/>
      <c r="V93" s="5"/>
      <c r="W93" s="5"/>
      <c r="X93" s="5"/>
      <c r="Y93" s="5"/>
      <c r="Z93" s="5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5"/>
      <c r="T94" s="5"/>
      <c r="U94" s="5"/>
      <c r="V94" s="5"/>
      <c r="W94" s="5"/>
      <c r="X94" s="5"/>
      <c r="Y94" s="5"/>
      <c r="Z94" s="5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5"/>
      <c r="T95" s="5"/>
      <c r="U95" s="5"/>
      <c r="V95" s="5"/>
      <c r="W95" s="5"/>
      <c r="X95" s="5"/>
      <c r="Y95" s="5"/>
      <c r="Z95" s="5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5"/>
      <c r="T96" s="5"/>
      <c r="U96" s="5"/>
      <c r="V96" s="5"/>
      <c r="W96" s="5"/>
      <c r="X96" s="5"/>
      <c r="Y96" s="5"/>
      <c r="Z96" s="5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5"/>
      <c r="T97" s="5"/>
      <c r="U97" s="5"/>
      <c r="V97" s="5"/>
      <c r="W97" s="5"/>
      <c r="X97" s="5"/>
      <c r="Y97" s="5"/>
      <c r="Z97" s="5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5"/>
      <c r="T98" s="5"/>
      <c r="U98" s="5"/>
      <c r="V98" s="5"/>
      <c r="W98" s="5"/>
      <c r="X98" s="5"/>
      <c r="Y98" s="5"/>
      <c r="Z98" s="5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5"/>
      <c r="T99" s="5"/>
      <c r="U99" s="5"/>
      <c r="V99" s="5"/>
      <c r="W99" s="5"/>
      <c r="X99" s="5"/>
      <c r="Y99" s="5"/>
      <c r="Z99" s="5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5"/>
      <c r="T100" s="5"/>
      <c r="U100" s="5"/>
      <c r="V100" s="5"/>
      <c r="W100" s="5"/>
      <c r="X100" s="5"/>
      <c r="Y100" s="5"/>
      <c r="Z100" s="5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5"/>
      <c r="T101" s="5"/>
      <c r="U101" s="5"/>
      <c r="V101" s="5"/>
      <c r="W101" s="5"/>
      <c r="X101" s="5"/>
      <c r="Y101" s="5"/>
      <c r="Z101" s="5"/>
    </row>
  </sheetData>
  <conditionalFormatting sqref="K2:K101">
    <cfRule type="expression" dxfId="2" priority="1">
      <formula>OR($K2="Critical",$K2="High")</formula>
    </cfRule>
  </conditionalFormatting>
  <conditionalFormatting sqref="L2:L101">
    <cfRule type="expression" dxfId="1" priority="2">
      <formula>$L2="Unknown"</formula>
    </cfRule>
  </conditionalFormatting>
  <conditionalFormatting sqref="Q2:Q101">
    <cfRule type="expression" dxfId="0" priority="3">
      <formula>OR($Q2="Low",$Q2="Unknown")</formula>
    </cfRule>
  </conditionalFormatting>
  <dataValidations count="6">
    <dataValidation type="list" sqref="E2:E101" xr:uid="{00000000-0002-0000-0300-000000000000}">
      <formula1>"Source,Target,Downstream Consumer,Upstream Provider,Shared Table,File Interface,API,Schedule,Business Process,Other,Unknown"</formula1>
    </dataValidation>
    <dataValidation type="list" sqref="F2:F101" xr:uid="{00000000-0002-0000-0300-000001000000}">
      <formula1>"Upstream,Downstream,Bidirectional,Internal,Unknown"</formula1>
    </dataValidation>
    <dataValidation type="list" sqref="J2:J101" xr:uid="{00000000-0002-0000-0300-000002000000}">
      <formula1>"Real-time,Hourly,Daily,Weekly,Monthly,Quarterly,Ad hoc,Unknown"</formula1>
    </dataValidation>
    <dataValidation type="list" sqref="K2:K101" xr:uid="{00000000-0002-0000-0300-000003000000}">
      <formula1>"Critical,High,Medium,Low,Unknown"</formula1>
    </dataValidation>
    <dataValidation type="list" sqref="P2:P101" xr:uid="{00000000-0002-0000-0300-000004000000}">
      <formula1>"Not Started,In Progress,Drafted,Reviewed,Confirmed,Blocked,Unknown"</formula1>
    </dataValidation>
    <dataValidation type="list" sqref="Q2:Q101" xr:uid="{00000000-0002-0000-0300-000005000000}">
      <formula1>"High,Medium,Low,Unknown"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>
      <selection sqref="A1:H1"/>
    </sheetView>
  </sheetViews>
  <sheetFormatPr defaultRowHeight="14.25"/>
  <cols>
    <col min="1" max="1" width="32.5" customWidth="1"/>
    <col min="2" max="2" width="66.25" customWidth="1"/>
    <col min="3" max="3" width="8.75" customWidth="1"/>
    <col min="4" max="4" width="16.875" customWidth="1"/>
    <col min="5" max="5" width="5.125" customWidth="1"/>
    <col min="7" max="7" width="16.75" customWidth="1"/>
    <col min="8" max="8" width="14.125" customWidth="1"/>
  </cols>
  <sheetData>
    <row r="1" spans="1:8" ht="18">
      <c r="A1" s="8" t="s">
        <v>182</v>
      </c>
      <c r="B1" s="8"/>
      <c r="C1" s="8"/>
      <c r="D1" s="8"/>
      <c r="E1" s="8"/>
      <c r="F1" s="8"/>
      <c r="G1" s="8"/>
      <c r="H1" s="8"/>
    </row>
    <row r="3" spans="1:8" ht="30">
      <c r="A3" s="3" t="s">
        <v>183</v>
      </c>
      <c r="B3" s="3" t="s">
        <v>184</v>
      </c>
      <c r="D3" s="3" t="s">
        <v>185</v>
      </c>
      <c r="E3" s="3" t="s">
        <v>186</v>
      </c>
      <c r="G3" s="3" t="s">
        <v>63</v>
      </c>
      <c r="H3" s="3" t="s">
        <v>187</v>
      </c>
    </row>
    <row r="4" spans="1:8" ht="15">
      <c r="A4" s="1" t="s">
        <v>188</v>
      </c>
      <c r="B4" s="7">
        <f>COUNTA('Application Inventory'!B2:B101)</f>
        <v>3</v>
      </c>
      <c r="D4" s="1" t="s">
        <v>94</v>
      </c>
      <c r="E4" s="7">
        <f>COUNTIF('Application Inventory'!G2:G101,D4)</f>
        <v>1</v>
      </c>
      <c r="G4" s="1" t="s">
        <v>81</v>
      </c>
      <c r="H4" s="7">
        <f>COUNTIF('Application Inventory'!I2:I101,G4)</f>
        <v>1</v>
      </c>
    </row>
    <row r="5" spans="1:8" ht="15">
      <c r="A5" s="1" t="s">
        <v>189</v>
      </c>
      <c r="B5" s="7">
        <f>COUNTA('Workflow Inventory'!C2:C101)</f>
        <v>3</v>
      </c>
      <c r="D5" s="1" t="s">
        <v>79</v>
      </c>
      <c r="E5" s="7">
        <f>COUNTIF('Application Inventory'!G2:G101,D5)</f>
        <v>1</v>
      </c>
      <c r="G5" s="1" t="s">
        <v>95</v>
      </c>
      <c r="H5" s="7">
        <f>COUNTIF('Application Inventory'!I2:I101,G5)</f>
        <v>1</v>
      </c>
    </row>
    <row r="6" spans="1:8" ht="15">
      <c r="A6" s="1" t="s">
        <v>190</v>
      </c>
      <c r="B6" s="7">
        <f>COUNTA(Dependencies!D2:D101)</f>
        <v>3</v>
      </c>
      <c r="D6" s="1" t="s">
        <v>89</v>
      </c>
      <c r="E6" s="7">
        <f>COUNTIF('Application Inventory'!G2:G101,D6)</f>
        <v>1</v>
      </c>
      <c r="G6" s="1" t="s">
        <v>191</v>
      </c>
      <c r="H6" s="7">
        <f>COUNTIF('Application Inventory'!I2:I101,G6)</f>
        <v>0</v>
      </c>
    </row>
    <row r="7" spans="1:8" ht="15">
      <c r="A7" s="1" t="s">
        <v>192</v>
      </c>
      <c r="B7" s="7">
        <f>B4-COUNTA('Application Inventory'!D2:D101)</f>
        <v>0</v>
      </c>
      <c r="D7" s="1" t="s">
        <v>100</v>
      </c>
      <c r="E7" s="7">
        <f>COUNTIF('Application Inventory'!G2:G101,D7)</f>
        <v>0</v>
      </c>
      <c r="G7" s="1" t="s">
        <v>193</v>
      </c>
      <c r="H7" s="7">
        <f>COUNTIF('Application Inventory'!I2:I101,G7)</f>
        <v>0</v>
      </c>
    </row>
    <row r="8" spans="1:8" ht="15">
      <c r="A8" s="1" t="s">
        <v>194</v>
      </c>
      <c r="B8" s="7">
        <f>COUNTIF('Application Inventory'!G2:G101,"Critical")+COUNTIF('Application Inventory'!G2:G101,"High")</f>
        <v>2</v>
      </c>
      <c r="D8" s="1" t="s">
        <v>180</v>
      </c>
      <c r="E8" s="7">
        <f>COUNTIF('Application Inventory'!G2:G101,D8)</f>
        <v>0</v>
      </c>
      <c r="G8" s="1" t="s">
        <v>195</v>
      </c>
      <c r="H8" s="7">
        <f>COUNTIF('Application Inventory'!I2:I101,G8)</f>
        <v>0</v>
      </c>
    </row>
    <row r="9" spans="1:8" ht="15">
      <c r="A9" s="1" t="s">
        <v>196</v>
      </c>
      <c r="B9" s="7">
        <f>COUNTIF('Application Inventory'!Q2:Q101,"Low")+COUNTIF('Application Inventory'!Q2:Q101,"Unknown")</f>
        <v>1</v>
      </c>
      <c r="D9" s="1" t="s">
        <v>197</v>
      </c>
      <c r="E9" s="7">
        <f>COUNTBLANK('Application Inventory'!G2:G101)-(100-B4)</f>
        <v>0</v>
      </c>
      <c r="G9" s="1" t="s">
        <v>198</v>
      </c>
      <c r="H9" s="7">
        <f>COUNTIF('Application Inventory'!I2:I101,G9)</f>
        <v>0</v>
      </c>
    </row>
    <row r="10" spans="1:8" ht="15">
      <c r="A10" s="1" t="s">
        <v>199</v>
      </c>
      <c r="B10" s="7">
        <f>COUNTIF('Application Inventory'!P2:P101,"Blocked")+COUNTIF('Application Inventory'!P2:P101,"Unknown")+COUNTIF('Workflow Inventory'!R2:R101,"Blocked")+COUNTIF('Workflow Inventory'!R2:R101,"Unknown")+COUNTIF(Dependencies!P2:P101,"Blocked")+COUNTIF(Dependencies!P2:P101,"Unknown")</f>
        <v>0</v>
      </c>
      <c r="G10" s="1" t="s">
        <v>200</v>
      </c>
      <c r="H10" s="7">
        <f>COUNTIF('Application Inventory'!I2:I101,G10)</f>
        <v>0</v>
      </c>
    </row>
    <row r="11" spans="1:8" ht="15">
      <c r="G11" s="1" t="s">
        <v>106</v>
      </c>
      <c r="H11" s="7">
        <f>COUNTIF('Application Inventory'!I2:I101,G11)</f>
        <v>1</v>
      </c>
    </row>
    <row r="12" spans="1:8" ht="15">
      <c r="G12" s="1" t="s">
        <v>201</v>
      </c>
      <c r="H12" s="7">
        <f>COUNTIF('Application Inventory'!I2:I101,G12)</f>
        <v>0</v>
      </c>
    </row>
    <row r="13" spans="1:8" ht="30">
      <c r="A13" s="3" t="s">
        <v>70</v>
      </c>
      <c r="B13" s="3" t="s">
        <v>202</v>
      </c>
      <c r="C13" s="3" t="s">
        <v>203</v>
      </c>
      <c r="G13" s="1" t="s">
        <v>204</v>
      </c>
      <c r="H13" s="7">
        <f>COUNTIF('Application Inventory'!I2:I101,G13)</f>
        <v>0</v>
      </c>
    </row>
    <row r="14" spans="1:8" ht="15">
      <c r="A14" s="1" t="s">
        <v>205</v>
      </c>
      <c r="B14" s="6">
        <f>COUNTIF('Application Inventory'!P2:P101,A14)</f>
        <v>0</v>
      </c>
      <c r="C14" s="6">
        <f>COUNTIF('Workflow Inventory'!R2:R101,A14)</f>
        <v>0</v>
      </c>
      <c r="G14" s="1" t="s">
        <v>180</v>
      </c>
      <c r="H14" s="7">
        <f>COUNTIF('Application Inventory'!I2:I101,G14)</f>
        <v>0</v>
      </c>
    </row>
    <row r="15" spans="1:8" ht="15">
      <c r="A15" s="1" t="s">
        <v>112</v>
      </c>
      <c r="B15" s="6">
        <f>COUNTIF('Application Inventory'!P2:P101,A15)</f>
        <v>1</v>
      </c>
      <c r="C15" s="6">
        <f>COUNTIF('Workflow Inventory'!R2:R101,A15)</f>
        <v>1</v>
      </c>
    </row>
    <row r="16" spans="1:8" ht="15">
      <c r="A16" s="1" t="s">
        <v>88</v>
      </c>
      <c r="B16" s="6">
        <f>COUNTIF('Application Inventory'!P2:P101,A16)</f>
        <v>2</v>
      </c>
      <c r="C16" s="6">
        <f>COUNTIF('Workflow Inventory'!R2:R101,A16)</f>
        <v>2</v>
      </c>
    </row>
    <row r="17" spans="1:8" ht="15">
      <c r="A17" s="1" t="s">
        <v>206</v>
      </c>
      <c r="B17" s="6">
        <f>COUNTIF('Application Inventory'!P2:P101,A17)</f>
        <v>0</v>
      </c>
      <c r="C17" s="6">
        <f>COUNTIF('Workflow Inventory'!R2:R101,A17)</f>
        <v>0</v>
      </c>
    </row>
    <row r="18" spans="1:8" ht="15">
      <c r="A18" s="1" t="s">
        <v>207</v>
      </c>
      <c r="B18" s="6">
        <f>COUNTIF('Application Inventory'!P2:P101,A18)</f>
        <v>0</v>
      </c>
      <c r="C18" s="6">
        <f>COUNTIF('Workflow Inventory'!R2:R101,A18)</f>
        <v>0</v>
      </c>
    </row>
    <row r="19" spans="1:8" ht="15">
      <c r="A19" s="1" t="s">
        <v>208</v>
      </c>
      <c r="B19" s="6">
        <f>COUNTIF('Application Inventory'!P2:P101,A19)</f>
        <v>0</v>
      </c>
      <c r="C19" s="6">
        <f>COUNTIF('Workflow Inventory'!R2:R101,A19)</f>
        <v>0</v>
      </c>
    </row>
    <row r="20" spans="1:8" ht="15">
      <c r="A20" s="1" t="s">
        <v>180</v>
      </c>
      <c r="B20" s="6">
        <f>COUNTIF('Application Inventory'!P2:P101,A20)</f>
        <v>0</v>
      </c>
      <c r="C20" s="6">
        <f>COUNTIF('Workflow Inventory'!R2:R101,A20)</f>
        <v>0</v>
      </c>
    </row>
    <row r="21" spans="1:8" ht="15">
      <c r="A21" s="1" t="s">
        <v>197</v>
      </c>
      <c r="B21" s="6">
        <f>COUNTBLANK('Application Inventory'!P2:P101)-(100-B4)</f>
        <v>0</v>
      </c>
      <c r="C21" s="6">
        <f>COUNTBLANK('Workflow Inventory'!R2:R101)-(100-B5)</f>
        <v>0</v>
      </c>
    </row>
    <row r="24" spans="1:8" ht="15">
      <c r="A24" s="9" t="s">
        <v>209</v>
      </c>
      <c r="B24" s="9"/>
      <c r="C24" s="9"/>
      <c r="D24" s="9"/>
      <c r="E24" s="9"/>
      <c r="F24" s="9"/>
      <c r="G24" s="9"/>
      <c r="H24" s="9"/>
    </row>
    <row r="25" spans="1:8" ht="15">
      <c r="A25" s="4" t="s">
        <v>41</v>
      </c>
      <c r="B25" s="2" t="s">
        <v>210</v>
      </c>
      <c r="C25" s="2"/>
      <c r="D25" s="2"/>
      <c r="E25" s="2"/>
      <c r="F25" s="2"/>
      <c r="G25" s="2"/>
      <c r="H25" s="2"/>
    </row>
    <row r="26" spans="1:8" ht="15">
      <c r="A26" s="4" t="s">
        <v>43</v>
      </c>
      <c r="B26" s="2" t="s">
        <v>211</v>
      </c>
      <c r="C26" s="2"/>
      <c r="D26" s="2"/>
      <c r="E26" s="2"/>
      <c r="F26" s="2"/>
      <c r="G26" s="2"/>
      <c r="H26" s="2"/>
    </row>
    <row r="27" spans="1:8" ht="15">
      <c r="A27" s="4" t="s">
        <v>45</v>
      </c>
      <c r="B27" s="2" t="s">
        <v>212</v>
      </c>
      <c r="C27" s="2"/>
      <c r="D27" s="2"/>
      <c r="E27" s="2"/>
      <c r="F27" s="2"/>
      <c r="G27" s="2"/>
      <c r="H27" s="2"/>
    </row>
    <row r="28" spans="1:8" ht="28.5">
      <c r="A28" s="4" t="s">
        <v>47</v>
      </c>
      <c r="B28" s="2" t="s">
        <v>213</v>
      </c>
      <c r="C28" s="2"/>
      <c r="D28" s="2"/>
      <c r="E28" s="2"/>
      <c r="F28" s="2"/>
      <c r="G28" s="2"/>
      <c r="H28" s="2"/>
    </row>
    <row r="29" spans="1:8" ht="15">
      <c r="A29" s="4" t="s">
        <v>49</v>
      </c>
      <c r="B29" s="2" t="s">
        <v>214</v>
      </c>
      <c r="C29" s="2"/>
      <c r="D29" s="2"/>
      <c r="E29" s="2"/>
      <c r="F29" s="2"/>
      <c r="G29" s="2"/>
      <c r="H29" s="2"/>
    </row>
    <row r="30" spans="1:8" ht="28.5">
      <c r="A30" s="4" t="s">
        <v>51</v>
      </c>
      <c r="B30" s="2" t="s">
        <v>215</v>
      </c>
      <c r="C30" s="2"/>
      <c r="D30" s="2"/>
      <c r="E30" s="2"/>
      <c r="F30" s="2"/>
      <c r="G30" s="2"/>
      <c r="H30" s="2"/>
    </row>
  </sheetData>
  <mergeCells count="2">
    <mergeCell ref="A1:H1"/>
    <mergeCell ref="A24:H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tabSelected="1" workbookViewId="0">
      <selection activeCell="I15" sqref="I15"/>
    </sheetView>
  </sheetViews>
  <sheetFormatPr defaultRowHeight="14.25"/>
  <cols>
    <col min="1" max="1" width="9.125" bestFit="1" customWidth="1"/>
    <col min="2" max="2" width="15.5" bestFit="1" customWidth="1"/>
    <col min="3" max="3" width="20.75" bestFit="1" customWidth="1"/>
    <col min="4" max="4" width="20.25" bestFit="1" customWidth="1"/>
    <col min="5" max="5" width="14.875" bestFit="1" customWidth="1"/>
    <col min="6" max="6" width="10.375" bestFit="1" customWidth="1"/>
    <col min="7" max="7" width="17.625" bestFit="1" customWidth="1"/>
    <col min="8" max="8" width="10.25" bestFit="1" customWidth="1"/>
    <col min="9" max="9" width="10.625" bestFit="1" customWidth="1"/>
    <col min="10" max="10" width="20.75" bestFit="1" customWidth="1"/>
    <col min="11" max="11" width="11.375" bestFit="1" customWidth="1"/>
  </cols>
  <sheetData>
    <row r="1" spans="1:11" ht="30">
      <c r="A1" s="3" t="s">
        <v>61</v>
      </c>
      <c r="B1" s="3" t="s">
        <v>70</v>
      </c>
      <c r="C1" s="3" t="s">
        <v>71</v>
      </c>
      <c r="D1" s="3" t="s">
        <v>63</v>
      </c>
      <c r="E1" s="3" t="s">
        <v>216</v>
      </c>
      <c r="F1" s="3" t="s">
        <v>66</v>
      </c>
      <c r="G1" s="3" t="s">
        <v>69</v>
      </c>
      <c r="H1" s="3" t="s">
        <v>120</v>
      </c>
      <c r="I1" s="3" t="s">
        <v>217</v>
      </c>
      <c r="J1" s="3" t="s">
        <v>155</v>
      </c>
      <c r="K1" s="3" t="s">
        <v>156</v>
      </c>
    </row>
    <row r="2" spans="1:11">
      <c r="A2" s="2" t="s">
        <v>94</v>
      </c>
      <c r="B2" s="2" t="s">
        <v>205</v>
      </c>
      <c r="C2" s="2" t="s">
        <v>79</v>
      </c>
      <c r="D2" s="2" t="s">
        <v>81</v>
      </c>
      <c r="E2" s="2" t="s">
        <v>82</v>
      </c>
      <c r="F2" s="2" t="s">
        <v>218</v>
      </c>
      <c r="G2" s="2" t="s">
        <v>87</v>
      </c>
      <c r="H2" s="2" t="s">
        <v>219</v>
      </c>
      <c r="I2" s="2" t="s">
        <v>144</v>
      </c>
      <c r="J2" s="2" t="s">
        <v>165</v>
      </c>
      <c r="K2" s="2" t="s">
        <v>166</v>
      </c>
    </row>
    <row r="3" spans="1:11">
      <c r="A3" s="2" t="s">
        <v>79</v>
      </c>
      <c r="B3" s="2" t="s">
        <v>112</v>
      </c>
      <c r="C3" s="2" t="s">
        <v>89</v>
      </c>
      <c r="D3" s="2" t="s">
        <v>95</v>
      </c>
      <c r="E3" s="2" t="s">
        <v>220</v>
      </c>
      <c r="F3" s="2" t="s">
        <v>109</v>
      </c>
      <c r="G3" s="2" t="s">
        <v>221</v>
      </c>
      <c r="H3" s="2" t="s">
        <v>222</v>
      </c>
      <c r="I3" s="2" t="s">
        <v>79</v>
      </c>
      <c r="J3" s="2" t="s">
        <v>223</v>
      </c>
      <c r="K3" s="2" t="s">
        <v>173</v>
      </c>
    </row>
    <row r="4" spans="1:11">
      <c r="A4" s="2" t="s">
        <v>89</v>
      </c>
      <c r="B4" s="2" t="s">
        <v>88</v>
      </c>
      <c r="C4" s="2" t="s">
        <v>100</v>
      </c>
      <c r="D4" s="2" t="s">
        <v>191</v>
      </c>
      <c r="E4" s="2" t="s">
        <v>224</v>
      </c>
      <c r="F4" s="2" t="s">
        <v>84</v>
      </c>
      <c r="G4" s="2" t="s">
        <v>225</v>
      </c>
      <c r="H4" s="2" t="s">
        <v>99</v>
      </c>
      <c r="I4" s="2" t="s">
        <v>89</v>
      </c>
      <c r="J4" s="2" t="s">
        <v>172</v>
      </c>
      <c r="K4" s="2" t="s">
        <v>226</v>
      </c>
    </row>
    <row r="5" spans="1:11">
      <c r="A5" s="2" t="s">
        <v>100</v>
      </c>
      <c r="B5" s="2" t="s">
        <v>206</v>
      </c>
      <c r="C5" s="2" t="s">
        <v>180</v>
      </c>
      <c r="D5" s="2" t="s">
        <v>193</v>
      </c>
      <c r="E5" s="2" t="s">
        <v>227</v>
      </c>
      <c r="F5" s="2" t="s">
        <v>98</v>
      </c>
      <c r="G5" s="2" t="s">
        <v>228</v>
      </c>
      <c r="H5" s="2" t="s">
        <v>111</v>
      </c>
      <c r="I5" s="2" t="s">
        <v>100</v>
      </c>
      <c r="J5" s="2" t="s">
        <v>229</v>
      </c>
      <c r="K5" s="2" t="s">
        <v>109</v>
      </c>
    </row>
    <row r="6" spans="1:11">
      <c r="A6" s="2" t="s">
        <v>180</v>
      </c>
      <c r="B6" s="2" t="s">
        <v>207</v>
      </c>
      <c r="D6" s="2" t="s">
        <v>195</v>
      </c>
      <c r="E6" s="2" t="s">
        <v>107</v>
      </c>
      <c r="F6" s="2" t="s">
        <v>230</v>
      </c>
      <c r="G6" s="2" t="s">
        <v>180</v>
      </c>
      <c r="H6" s="2" t="s">
        <v>231</v>
      </c>
      <c r="I6" s="2" t="s">
        <v>180</v>
      </c>
      <c r="J6" s="2" t="s">
        <v>178</v>
      </c>
      <c r="K6" s="2" t="s">
        <v>180</v>
      </c>
    </row>
    <row r="7" spans="1:11">
      <c r="B7" s="2" t="s">
        <v>208</v>
      </c>
      <c r="D7" s="2" t="s">
        <v>198</v>
      </c>
      <c r="E7" s="2" t="s">
        <v>232</v>
      </c>
      <c r="F7" s="2" t="s">
        <v>180</v>
      </c>
      <c r="H7" s="2" t="s">
        <v>233</v>
      </c>
      <c r="J7" s="2" t="s">
        <v>234</v>
      </c>
    </row>
    <row r="8" spans="1:11">
      <c r="B8" s="2" t="s">
        <v>180</v>
      </c>
      <c r="D8" s="2" t="s">
        <v>200</v>
      </c>
      <c r="E8" s="2" t="s">
        <v>235</v>
      </c>
      <c r="H8" s="2" t="s">
        <v>236</v>
      </c>
      <c r="J8" s="2" t="s">
        <v>237</v>
      </c>
    </row>
    <row r="9" spans="1:11">
      <c r="D9" s="2" t="s">
        <v>106</v>
      </c>
      <c r="E9" s="2" t="s">
        <v>96</v>
      </c>
      <c r="H9" s="2" t="s">
        <v>180</v>
      </c>
      <c r="J9" s="2" t="s">
        <v>238</v>
      </c>
    </row>
    <row r="10" spans="1:11">
      <c r="D10" s="2" t="s">
        <v>201</v>
      </c>
      <c r="E10" s="2" t="s">
        <v>239</v>
      </c>
      <c r="J10" s="2" t="s">
        <v>240</v>
      </c>
    </row>
    <row r="11" spans="1:11">
      <c r="D11" s="2" t="s">
        <v>204</v>
      </c>
      <c r="E11" s="2" t="s">
        <v>204</v>
      </c>
      <c r="J11" s="2" t="s">
        <v>204</v>
      </c>
    </row>
    <row r="12" spans="1:11">
      <c r="D12" s="2" t="s">
        <v>180</v>
      </c>
      <c r="E12" s="2" t="s">
        <v>180</v>
      </c>
      <c r="J12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Application Inventory</vt:lpstr>
      <vt:lpstr>Workflow Inventory</vt:lpstr>
      <vt:lpstr>Dependencies</vt:lpstr>
      <vt:lpstr>Dashboard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Garvin Franco</cp:lastModifiedBy>
  <dcterms:modified xsi:type="dcterms:W3CDTF">2026-06-28T18:05:08Z</dcterms:modified>
</cp:coreProperties>
</file>